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batuhan/Desktop/freelance-portfolio/case-studies/"/>
    </mc:Choice>
  </mc:AlternateContent>
  <xr:revisionPtr revIDLastSave="0" documentId="13_ncr:1_{0BB686DC-CAAC-2940-9492-A515D710051A}" xr6:coauthVersionLast="47" xr6:coauthVersionMax="47" xr10:uidLastSave="{00000000-0000-0000-0000-000000000000}"/>
  <bookViews>
    <workbookView xWindow="0" yWindow="660" windowWidth="30240" windowHeight="17760" activeTab="2" xr2:uid="{00000000-000D-0000-FFFF-FFFF00000000}"/>
  </bookViews>
  <sheets>
    <sheet name="Ham Veri" sheetId="1" r:id="rId1"/>
    <sheet name="Analiz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K20" i="3"/>
</calcChain>
</file>

<file path=xl/sharedStrings.xml><?xml version="1.0" encoding="utf-8"?>
<sst xmlns="http://schemas.openxmlformats.org/spreadsheetml/2006/main" count="213" uniqueCount="204">
  <si>
    <t>Turkey Inflation &amp; Unemployment Analysis  |  2019 – 2025</t>
  </si>
  <si>
    <t>Data Source: TÜİK (Turkish Statistical Institute) &amp; TCMB (Central Bank of Turkey)</t>
  </si>
  <si>
    <t>Peak Inflation</t>
  </si>
  <si>
    <t>Latest Inflation</t>
  </si>
  <si>
    <t>Avg Unemployment</t>
  </si>
  <si>
    <t>Latest Unemployment</t>
  </si>
  <si>
    <t>85.5%</t>
  </si>
  <si>
    <t>37.9%</t>
  </si>
  <si>
    <t>11.1%</t>
  </si>
  <si>
    <t>8.0%</t>
  </si>
  <si>
    <t>Oct 2022</t>
  </si>
  <si>
    <t>Apr 2025</t>
  </si>
  <si>
    <t>2019-2025</t>
  </si>
  <si>
    <t>Yearly Averages</t>
  </si>
  <si>
    <t>Year</t>
  </si>
  <si>
    <t>Avg CPI (%)</t>
  </si>
  <si>
    <t>Avg Unemp (%)</t>
  </si>
  <si>
    <t>CORREL</t>
  </si>
  <si>
    <t>Overall CORREL:</t>
  </si>
  <si>
    <t>KEY INSIGHT
Turkey experienced severe inflation (85%+ peak)
while unemployment fell — a classic Phillips
Curve pattern amplified by currency crisis.</t>
  </si>
  <si>
    <t>Month</t>
  </si>
  <si>
    <t>CPI Inflation (%)</t>
  </si>
  <si>
    <t>Unemployment (%)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</si>
  <si>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</si>
  <si>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</si>
  <si>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</si>
  <si>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</si>
  <si>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</si>
  <si>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</si>
  <si>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</si>
  <si>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</si>
  <si>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</si>
  <si>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</si>
  <si>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</si>
  <si>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</si>
  <si>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</si>
  <si>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</si>
  <si>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</si>
  <si>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</si>
  <si>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</si>
  <si>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</si>
  <si>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</si>
  <si>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</si>
  <si>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</si>
  <si>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</si>
  <si>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</si>
  <si>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</si>
  <si>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</si>
  <si>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</si>
  <si>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</si>
  <si>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</si>
  <si>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</si>
  <si>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</si>
  <si>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</si>
  <si>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</si>
  <si>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</si>
  <si>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</si>
  <si>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</si>
  <si>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</si>
  <si>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</si>
  <si>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</si>
  <si>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</si>
  <si>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</si>
  <si>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</si>
  <si>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</si>
  <si>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</si>
  <si>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</si>
  <si>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</si>
  <si>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</si>
  <si>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</si>
  <si>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</si>
  <si>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</si>
  <si>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</si>
  <si>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</si>
  <si>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</si>
  <si>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</si>
  <si>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</si>
  <si>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</si>
  <si>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</si>
  <si>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</si>
  <si>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</si>
  <si>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</si>
  <si>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</si>
  <si>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</si>
  <si>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</si>
  <si>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</si>
  <si>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</si>
  <si>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</si>
  <si>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</si>
  <si>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</si>
  <si>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</si>
  <si>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</si>
  <si>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</si>
  <si>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</si>
  <si>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</si>
  <si>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</si>
  <si>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</si>
  <si>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Tarih</t>
  </si>
  <si>
    <t>Ay</t>
  </si>
  <si>
    <t>Yıl</t>
  </si>
  <si>
    <t>TÜFE YoY (%)</t>
  </si>
  <si>
    <t>İşsizlik (%)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</si>
  <si>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</si>
  <si>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</si>
  <si>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</si>
  <si>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</si>
  <si>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</si>
  <si>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</si>
  <si>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</si>
  <si>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</si>
  <si>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</si>
  <si>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</si>
  <si>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</si>
  <si>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</si>
  <si>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</si>
  <si>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</si>
  <si>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</si>
  <si>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</si>
  <si>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</si>
  <si>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</si>
  <si>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</si>
  <si>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</si>
  <si>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</si>
  <si>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</si>
  <si>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</si>
  <si>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</si>
  <si>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</si>
  <si>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</si>
  <si>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</si>
  <si>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</si>
  <si>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</si>
  <si>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</si>
  <si>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</si>
  <si>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</si>
  <si>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</si>
  <si>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</si>
  <si>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</si>
  <si>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</si>
  <si>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</si>
  <si>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</si>
  <si>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</si>
  <si>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</si>
  <si>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</si>
  <si>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</si>
  <si>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</si>
  <si>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</si>
  <si>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</si>
  <si>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</si>
  <si>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</si>
  <si>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</si>
  <si>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</si>
  <si>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</si>
  <si>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</si>
  <si>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</si>
  <si>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</si>
  <si>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</si>
  <si>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</si>
  <si>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</si>
  <si>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</si>
  <si>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</si>
  <si>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</si>
  <si>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</si>
  <si>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</si>
  <si>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</si>
  <si>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</si>
  <si>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</si>
  <si>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</si>
  <si>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</si>
  <si>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</si>
  <si>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</si>
  <si>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</si>
  <si>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</si>
  <si>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</si>
  <si>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</si>
  <si>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</si>
  <si>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</si>
  <si>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</si>
  <si>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</si>
  <si>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Yıllık Ortalamalar</t>
  </si>
  <si>
    <t>Ort. TÜFE (%)</t>
  </si>
  <si>
    <t>Min TÜFE (%)</t>
  </si>
  <si>
    <t>Max TÜFE (%)</t>
  </si>
  <si>
    <t>Ort. İşsizlik (%)</t>
  </si>
  <si>
    <t>Min İşsizlik (%)</t>
  </si>
  <si>
    <t>Max İşsizlik (%)</t>
  </si>
  <si>
    <t>Korelasyon Analizi</t>
  </si>
  <si>
    <t>TÜFE ↔ İşsizlik Korelasyonu:</t>
  </si>
  <si>
    <t>Yorum: Negatif korelasyon → enflasyon yükselirken işsizlik düşme eğiliminde</t>
  </si>
  <si>
    <t>Özet İstatistikler</t>
  </si>
  <si>
    <t>Toplam Gözlem Sayısı</t>
  </si>
  <si>
    <t>ay</t>
  </si>
  <si>
    <t>Dönem</t>
  </si>
  <si>
    <t>Oca 2019 – Nis 2025</t>
  </si>
  <si>
    <t>TÜFE Ortalaması</t>
  </si>
  <si>
    <t>%</t>
  </si>
  <si>
    <t>TÜFE Minimum</t>
  </si>
  <si>
    <t>8.55 (Eki 2019)</t>
  </si>
  <si>
    <t>TÜFE Maksimum</t>
  </si>
  <si>
    <t>85.51 (Eki 2022)</t>
  </si>
  <si>
    <t>İşsizlik Ortalaması</t>
  </si>
  <si>
    <t>İşsizlik Minimum</t>
  </si>
  <si>
    <t>8.0 (Nis 2025)</t>
  </si>
  <si>
    <t>İşsizlik Maksimum</t>
  </si>
  <si>
    <t>15.0 (Şub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</si>
</sst>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%&quot;"/>
    <numFmt numFmtId="165" formatCode="0.0&quot;%&quot;"/>
    <numFmt numFmtId="166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404040"/>
      <name val="Calibri"/>
      <family val="2"/>
    </font>
    <font>
      <b/>
      <sz val="14"/>
      <color rgb="FF1B3A5C"/>
      <name val="Calibri"/>
      <family val="2"/>
    </font>
    <font>
      <b/>
      <sz val="11"/>
      <color rgb="FF1B3A5C"/>
      <name val="Calibri"/>
      <family val="2"/>
    </font>
    <font>
      <b/>
      <sz val="14"/>
      <color rgb="FFC00000"/>
      <name val="Calibri"/>
      <family val="2"/>
    </font>
    <font>
      <i/>
      <sz val="10"/>
      <color rgb="FF404040"/>
      <name val="Calibri"/>
      <family val="2"/>
    </font>
    <font>
      <b/>
      <sz val="10"/>
      <color rgb="FF404040"/>
      <name val="Calibri"/>
      <family val="2"/>
    </font>
    <font>
      <sz val="10"/>
      <color rgb="FF1B3A5C"/>
      <name val="Calibri"/>
      <family val="2"/>
    </font>
    <font>
      <b/>
      <sz val="22"/>
      <color rgb="FFFFFFFF"/>
      <name val="Calibri"/>
      <family val="2"/>
    </font>
    <font>
      <i/>
      <sz val="10"/>
      <color rgb="FFFFFFFF"/>
      <name val="Calibri"/>
      <family val="2"/>
    </font>
    <font>
      <sz val="9"/>
      <color rgb="FFFFFFFF"/>
      <name val="Calibri"/>
      <family val="2"/>
    </font>
    <font>
      <b/>
      <sz val="20"/>
      <color rgb="FFFFFFFF"/>
      <name val="Calibri"/>
      <family val="2"/>
    </font>
    <font>
      <i/>
      <sz val="8"/>
      <color rgb="FFFFFFFF"/>
      <name val="Calibri"/>
      <family val="2"/>
    </font>
    <font>
      <b/>
      <sz val="13"/>
      <color rgb="FF1B3A5C"/>
      <name val="Calibri"/>
      <family val="2"/>
    </font>
    <font>
      <b/>
      <sz val="10"/>
      <color rgb="FFFFFFFF"/>
      <name val="Calibri"/>
      <family val="2"/>
    </font>
    <font>
      <b/>
      <sz val="10"/>
      <color rgb="FFC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548235"/>
        <bgColor rgb="FF548235"/>
      </patternFill>
    </fill>
    <fill>
      <patternFill patternType="solid">
        <fgColor rgb="FFFFC7CE"/>
        <bgColor rgb="FFFFC7CE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4" fillId="0" borderId="0" xfId="0" applyFont="1"/>
    <xf numFmtId="166" fontId="5" fillId="0" borderId="0" xfId="0" applyNumberFormat="1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15" fillId="2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4" fillId="0" borderId="0" xfId="0" applyFont="1"/>
    <xf numFmtId="0" fontId="0" fillId="0" borderId="0" xfId="0"/>
    <xf numFmtId="0" fontId="9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0" fillId="8" borderId="0" xfId="0" applyFill="1"/>
    <xf numFmtId="0" fontId="12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r-TR"/>
              <a:t>Monthly CPI Inflation Rate (YoY 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Dashboard!$B$100</c:f>
              <c:strCache>
                <c:ptCount val="1"/>
                <c:pt idx="0">
                  <c:v>CPI Inflation (%)</c:v>
                </c:pt>
              </c:strCache>
            </c:strRef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Dashboard!$A$101:$A$176</c:f>
              <c:strCache>
                <c:ptCount val="76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  <c:pt idx="24">
                  <c:v>Jan 2021</c:v>
                </c:pt>
                <c:pt idx="25">
                  <c:v>Feb 2021</c:v>
                </c:pt>
                <c:pt idx="26">
                  <c:v>Mar 2021</c:v>
                </c:pt>
                <c:pt idx="27">
                  <c:v>Apr 2021</c:v>
                </c:pt>
                <c:pt idx="28">
                  <c:v>May 2021</c:v>
                </c:pt>
                <c:pt idx="29">
                  <c:v>Jun 2021</c:v>
                </c:pt>
                <c:pt idx="30">
                  <c:v>Jul 2021</c:v>
                </c:pt>
                <c:pt idx="31">
                  <c:v>Aug 2021</c:v>
                </c:pt>
                <c:pt idx="32">
                  <c:v>Sep 2021</c:v>
                </c:pt>
                <c:pt idx="33">
                  <c:v>Oct 2021</c:v>
                </c:pt>
                <c:pt idx="34">
                  <c:v>Nov 2021</c:v>
                </c:pt>
                <c:pt idx="35">
                  <c:v>Dec 2021</c:v>
                </c:pt>
                <c:pt idx="36">
                  <c:v>Jan 2022</c:v>
                </c:pt>
                <c:pt idx="37">
                  <c:v>Feb 2022</c:v>
                </c:pt>
                <c:pt idx="38">
                  <c:v>Mar 2022</c:v>
                </c:pt>
                <c:pt idx="39">
                  <c:v>Apr 2022</c:v>
                </c:pt>
                <c:pt idx="40">
                  <c:v>May 2022</c:v>
                </c:pt>
                <c:pt idx="41">
                  <c:v>Jun 2022</c:v>
                </c:pt>
                <c:pt idx="42">
                  <c:v>Jul 2022</c:v>
                </c:pt>
                <c:pt idx="43">
                  <c:v>Aug 2022</c:v>
                </c:pt>
                <c:pt idx="44">
                  <c:v>Sep 2022</c:v>
                </c:pt>
                <c:pt idx="45">
                  <c:v>Oct 2022</c:v>
                </c:pt>
                <c:pt idx="46">
                  <c:v>Nov 2022</c:v>
                </c:pt>
                <c:pt idx="47">
                  <c:v>Dec 2022</c:v>
                </c:pt>
                <c:pt idx="48">
                  <c:v>Jan 2023</c:v>
                </c:pt>
                <c:pt idx="49">
                  <c:v>Feb 2023</c:v>
                </c:pt>
                <c:pt idx="50">
                  <c:v>Mar 2023</c:v>
                </c:pt>
                <c:pt idx="51">
                  <c:v>Apr 2023</c:v>
                </c:pt>
                <c:pt idx="52">
                  <c:v>May 2023</c:v>
                </c:pt>
                <c:pt idx="53">
                  <c:v>Jun 2023</c:v>
                </c:pt>
                <c:pt idx="54">
                  <c:v>Jul 2023</c:v>
                </c:pt>
                <c:pt idx="55">
                  <c:v>Aug 2023</c:v>
                </c:pt>
                <c:pt idx="56">
                  <c:v>Sep 2023</c:v>
                </c:pt>
                <c:pt idx="57">
                  <c:v>Oct 2023</c:v>
                </c:pt>
                <c:pt idx="58">
                  <c:v>Nov 2023</c:v>
                </c:pt>
                <c:pt idx="59">
                  <c:v>Dec 2023</c:v>
                </c:pt>
                <c:pt idx="60">
                  <c:v>Jan 2024</c:v>
                </c:pt>
                <c:pt idx="61">
                  <c:v>Feb 2024</c:v>
                </c:pt>
                <c:pt idx="62">
                  <c:v>Mar 2024</c:v>
                </c:pt>
                <c:pt idx="63">
                  <c:v>Apr 2024</c:v>
                </c:pt>
                <c:pt idx="64">
                  <c:v>May 2024</c:v>
                </c:pt>
                <c:pt idx="65">
                  <c:v>Jun 2024</c:v>
                </c:pt>
                <c:pt idx="66">
                  <c:v>Jul 2024</c:v>
                </c:pt>
                <c:pt idx="67">
                  <c:v>Aug 2024</c:v>
                </c:pt>
                <c:pt idx="68">
                  <c:v>Sep 2024</c:v>
                </c:pt>
                <c:pt idx="69">
                  <c:v>Oct 2024</c:v>
                </c:pt>
                <c:pt idx="70">
                  <c:v>Nov 2024</c:v>
                </c:pt>
                <c:pt idx="71">
                  <c:v>Dec 2024</c:v>
                </c:pt>
                <c:pt idx="72">
                  <c:v>Jan 2025</c:v>
                </c:pt>
                <c:pt idx="73">
                  <c:v>Feb 2025</c:v>
                </c:pt>
                <c:pt idx="74">
                  <c:v>Mar 2025</c:v>
                </c:pt>
                <c:pt idx="75">
                  <c:v>Apr 2025</c:v>
                </c:pt>
              </c:strCache>
            </c:strRef>
          </c:cat>
          <c:val>
            <c:numRef>
              <c:f>Dashboard!$B$101:$B$176</c:f>
              <c:numCache>
                <c:formatCode>General</c:formatCode>
                <c:ptCount val="76"/>
                <c:pt idx="0">
                  <c:v>20.350000000000001</c:v>
                </c:pt>
                <c:pt idx="1">
                  <c:v>19.670000000000002</c:v>
                </c:pt>
                <c:pt idx="2">
                  <c:v>19.71</c:v>
                </c:pt>
                <c:pt idx="3">
                  <c:v>19.5</c:v>
                </c:pt>
                <c:pt idx="4">
                  <c:v>18.71</c:v>
                </c:pt>
                <c:pt idx="5">
                  <c:v>15.72</c:v>
                </c:pt>
                <c:pt idx="6">
                  <c:v>16.649999999999999</c:v>
                </c:pt>
                <c:pt idx="7">
                  <c:v>15.01</c:v>
                </c:pt>
                <c:pt idx="8">
                  <c:v>9.26</c:v>
                </c:pt>
                <c:pt idx="9">
                  <c:v>8.5500000000000007</c:v>
                </c:pt>
                <c:pt idx="10">
                  <c:v>10.56</c:v>
                </c:pt>
                <c:pt idx="11">
                  <c:v>11.84</c:v>
                </c:pt>
                <c:pt idx="12">
                  <c:v>12.15</c:v>
                </c:pt>
                <c:pt idx="13">
                  <c:v>12.37</c:v>
                </c:pt>
                <c:pt idx="14">
                  <c:v>11.86</c:v>
                </c:pt>
                <c:pt idx="15">
                  <c:v>10.94</c:v>
                </c:pt>
                <c:pt idx="16">
                  <c:v>11.39</c:v>
                </c:pt>
                <c:pt idx="17">
                  <c:v>12.62</c:v>
                </c:pt>
                <c:pt idx="18">
                  <c:v>11.76</c:v>
                </c:pt>
                <c:pt idx="19">
                  <c:v>11.77</c:v>
                </c:pt>
                <c:pt idx="20">
                  <c:v>11.75</c:v>
                </c:pt>
                <c:pt idx="21">
                  <c:v>11.89</c:v>
                </c:pt>
                <c:pt idx="22">
                  <c:v>14.03</c:v>
                </c:pt>
                <c:pt idx="23">
                  <c:v>14.6</c:v>
                </c:pt>
                <c:pt idx="24">
                  <c:v>14.97</c:v>
                </c:pt>
                <c:pt idx="25">
                  <c:v>15.61</c:v>
                </c:pt>
                <c:pt idx="26">
                  <c:v>16.190000000000001</c:v>
                </c:pt>
                <c:pt idx="27">
                  <c:v>17.14</c:v>
                </c:pt>
                <c:pt idx="28">
                  <c:v>16.59</c:v>
                </c:pt>
                <c:pt idx="29">
                  <c:v>17.53</c:v>
                </c:pt>
                <c:pt idx="30">
                  <c:v>18.95</c:v>
                </c:pt>
                <c:pt idx="31">
                  <c:v>19.25</c:v>
                </c:pt>
                <c:pt idx="32">
                  <c:v>19.579999999999998</c:v>
                </c:pt>
                <c:pt idx="33">
                  <c:v>19.89</c:v>
                </c:pt>
                <c:pt idx="34">
                  <c:v>21.31</c:v>
                </c:pt>
                <c:pt idx="35">
                  <c:v>36.08</c:v>
                </c:pt>
                <c:pt idx="36">
                  <c:v>48.69</c:v>
                </c:pt>
                <c:pt idx="37">
                  <c:v>54.44</c:v>
                </c:pt>
                <c:pt idx="38">
                  <c:v>61.14</c:v>
                </c:pt>
                <c:pt idx="39">
                  <c:v>69.97</c:v>
                </c:pt>
                <c:pt idx="40">
                  <c:v>73.5</c:v>
                </c:pt>
                <c:pt idx="41">
                  <c:v>78.62</c:v>
                </c:pt>
                <c:pt idx="42">
                  <c:v>79.599999999999994</c:v>
                </c:pt>
                <c:pt idx="43">
                  <c:v>80.209999999999994</c:v>
                </c:pt>
                <c:pt idx="44">
                  <c:v>83.45</c:v>
                </c:pt>
                <c:pt idx="45">
                  <c:v>85.51</c:v>
                </c:pt>
                <c:pt idx="46">
                  <c:v>84.39</c:v>
                </c:pt>
                <c:pt idx="47">
                  <c:v>64.27</c:v>
                </c:pt>
                <c:pt idx="48">
                  <c:v>57.68</c:v>
                </c:pt>
                <c:pt idx="49">
                  <c:v>55.18</c:v>
                </c:pt>
                <c:pt idx="50">
                  <c:v>50.51</c:v>
                </c:pt>
                <c:pt idx="51">
                  <c:v>43.68</c:v>
                </c:pt>
                <c:pt idx="52">
                  <c:v>39.590000000000003</c:v>
                </c:pt>
                <c:pt idx="53">
                  <c:v>38.21</c:v>
                </c:pt>
                <c:pt idx="54">
                  <c:v>47.83</c:v>
                </c:pt>
                <c:pt idx="55">
                  <c:v>58.94</c:v>
                </c:pt>
                <c:pt idx="56">
                  <c:v>61.53</c:v>
                </c:pt>
                <c:pt idx="57">
                  <c:v>61.36</c:v>
                </c:pt>
                <c:pt idx="58">
                  <c:v>61.98</c:v>
                </c:pt>
                <c:pt idx="59">
                  <c:v>64.77</c:v>
                </c:pt>
                <c:pt idx="60">
                  <c:v>64.86</c:v>
                </c:pt>
                <c:pt idx="61">
                  <c:v>67.069999999999993</c:v>
                </c:pt>
                <c:pt idx="62">
                  <c:v>68.5</c:v>
                </c:pt>
                <c:pt idx="63">
                  <c:v>69.8</c:v>
                </c:pt>
                <c:pt idx="64">
                  <c:v>75.45</c:v>
                </c:pt>
                <c:pt idx="65">
                  <c:v>71.599999999999994</c:v>
                </c:pt>
                <c:pt idx="66">
                  <c:v>61.78</c:v>
                </c:pt>
                <c:pt idx="67">
                  <c:v>51.97</c:v>
                </c:pt>
                <c:pt idx="68">
                  <c:v>49.38</c:v>
                </c:pt>
                <c:pt idx="69">
                  <c:v>48.58</c:v>
                </c:pt>
                <c:pt idx="70">
                  <c:v>47.09</c:v>
                </c:pt>
                <c:pt idx="71">
                  <c:v>44.38</c:v>
                </c:pt>
                <c:pt idx="72">
                  <c:v>42.12</c:v>
                </c:pt>
                <c:pt idx="73">
                  <c:v>39.049999999999997</c:v>
                </c:pt>
                <c:pt idx="74">
                  <c:v>38.1</c:v>
                </c:pt>
                <c:pt idx="75">
                  <c:v>37.86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A-674A-AA29-F0B804F35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6"/>
        <c:tickMarkSkip val="6"/>
        <c:noMultiLvlLbl val="1"/>
      </c:catAx>
      <c:valAx>
        <c:axId val="100"/>
        <c:scaling>
          <c:orientation val="minMax"/>
          <c:max val="9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Inflation Rate (%)</a:t>
                </a:r>
              </a:p>
            </c:rich>
          </c:tx>
          <c:overlay val="1"/>
        </c:title>
        <c:numFmt formatCode="0.0&quot;%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r-TR"/>
              <a:t>Monthly Unemployment Rate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Dashboard!$C$100</c:f>
              <c:strCache>
                <c:ptCount val="1"/>
                <c:pt idx="0">
                  <c:v>Unemployment (%)</c:v>
                </c:pt>
              </c:strCache>
            </c:strRef>
          </c:tx>
          <c:spPr>
            <a:ln w="2200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Dashboard!$A$101:$A$176</c:f>
              <c:strCache>
                <c:ptCount val="76"/>
                <c:pt idx="0">
                  <c:v>Jan 2019</c:v>
                </c:pt>
                <c:pt idx="1">
                  <c:v>Feb 2019</c:v>
                </c:pt>
                <c:pt idx="2">
                  <c:v>Mar 2019</c:v>
                </c:pt>
                <c:pt idx="3">
                  <c:v>Apr 2019</c:v>
                </c:pt>
                <c:pt idx="4">
                  <c:v>May 2019</c:v>
                </c:pt>
                <c:pt idx="5">
                  <c:v>Jun 2019</c:v>
                </c:pt>
                <c:pt idx="6">
                  <c:v>Jul 2019</c:v>
                </c:pt>
                <c:pt idx="7">
                  <c:v>Aug 2019</c:v>
                </c:pt>
                <c:pt idx="8">
                  <c:v>Sep 2019</c:v>
                </c:pt>
                <c:pt idx="9">
                  <c:v>Oct 2019</c:v>
                </c:pt>
                <c:pt idx="10">
                  <c:v>Nov 2019</c:v>
                </c:pt>
                <c:pt idx="11">
                  <c:v>Dec 2019</c:v>
                </c:pt>
                <c:pt idx="12">
                  <c:v>Jan 2020</c:v>
                </c:pt>
                <c:pt idx="13">
                  <c:v>Feb 2020</c:v>
                </c:pt>
                <c:pt idx="14">
                  <c:v>Mar 2020</c:v>
                </c:pt>
                <c:pt idx="15">
                  <c:v>Apr 2020</c:v>
                </c:pt>
                <c:pt idx="16">
                  <c:v>May 2020</c:v>
                </c:pt>
                <c:pt idx="17">
                  <c:v>Jun 2020</c:v>
                </c:pt>
                <c:pt idx="18">
                  <c:v>Jul 2020</c:v>
                </c:pt>
                <c:pt idx="19">
                  <c:v>Aug 2020</c:v>
                </c:pt>
                <c:pt idx="20">
                  <c:v>Sep 2020</c:v>
                </c:pt>
                <c:pt idx="21">
                  <c:v>Oct 2020</c:v>
                </c:pt>
                <c:pt idx="22">
                  <c:v>Nov 2020</c:v>
                </c:pt>
                <c:pt idx="23">
                  <c:v>Dec 2020</c:v>
                </c:pt>
                <c:pt idx="24">
                  <c:v>Jan 2021</c:v>
                </c:pt>
                <c:pt idx="25">
                  <c:v>Feb 2021</c:v>
                </c:pt>
                <c:pt idx="26">
                  <c:v>Mar 2021</c:v>
                </c:pt>
                <c:pt idx="27">
                  <c:v>Apr 2021</c:v>
                </c:pt>
                <c:pt idx="28">
                  <c:v>May 2021</c:v>
                </c:pt>
                <c:pt idx="29">
                  <c:v>Jun 2021</c:v>
                </c:pt>
                <c:pt idx="30">
                  <c:v>Jul 2021</c:v>
                </c:pt>
                <c:pt idx="31">
                  <c:v>Aug 2021</c:v>
                </c:pt>
                <c:pt idx="32">
                  <c:v>Sep 2021</c:v>
                </c:pt>
                <c:pt idx="33">
                  <c:v>Oct 2021</c:v>
                </c:pt>
                <c:pt idx="34">
                  <c:v>Nov 2021</c:v>
                </c:pt>
                <c:pt idx="35">
                  <c:v>Dec 2021</c:v>
                </c:pt>
                <c:pt idx="36">
                  <c:v>Jan 2022</c:v>
                </c:pt>
                <c:pt idx="37">
                  <c:v>Feb 2022</c:v>
                </c:pt>
                <c:pt idx="38">
                  <c:v>Mar 2022</c:v>
                </c:pt>
                <c:pt idx="39">
                  <c:v>Apr 2022</c:v>
                </c:pt>
                <c:pt idx="40">
                  <c:v>May 2022</c:v>
                </c:pt>
                <c:pt idx="41">
                  <c:v>Jun 2022</c:v>
                </c:pt>
                <c:pt idx="42">
                  <c:v>Jul 2022</c:v>
                </c:pt>
                <c:pt idx="43">
                  <c:v>Aug 2022</c:v>
                </c:pt>
                <c:pt idx="44">
                  <c:v>Sep 2022</c:v>
                </c:pt>
                <c:pt idx="45">
                  <c:v>Oct 2022</c:v>
                </c:pt>
                <c:pt idx="46">
                  <c:v>Nov 2022</c:v>
                </c:pt>
                <c:pt idx="47">
                  <c:v>Dec 2022</c:v>
                </c:pt>
                <c:pt idx="48">
                  <c:v>Jan 2023</c:v>
                </c:pt>
                <c:pt idx="49">
                  <c:v>Feb 2023</c:v>
                </c:pt>
                <c:pt idx="50">
                  <c:v>Mar 2023</c:v>
                </c:pt>
                <c:pt idx="51">
                  <c:v>Apr 2023</c:v>
                </c:pt>
                <c:pt idx="52">
                  <c:v>May 2023</c:v>
                </c:pt>
                <c:pt idx="53">
                  <c:v>Jun 2023</c:v>
                </c:pt>
                <c:pt idx="54">
                  <c:v>Jul 2023</c:v>
                </c:pt>
                <c:pt idx="55">
                  <c:v>Aug 2023</c:v>
                </c:pt>
                <c:pt idx="56">
                  <c:v>Sep 2023</c:v>
                </c:pt>
                <c:pt idx="57">
                  <c:v>Oct 2023</c:v>
                </c:pt>
                <c:pt idx="58">
                  <c:v>Nov 2023</c:v>
                </c:pt>
                <c:pt idx="59">
                  <c:v>Dec 2023</c:v>
                </c:pt>
                <c:pt idx="60">
                  <c:v>Jan 2024</c:v>
                </c:pt>
                <c:pt idx="61">
                  <c:v>Feb 2024</c:v>
                </c:pt>
                <c:pt idx="62">
                  <c:v>Mar 2024</c:v>
                </c:pt>
                <c:pt idx="63">
                  <c:v>Apr 2024</c:v>
                </c:pt>
                <c:pt idx="64">
                  <c:v>May 2024</c:v>
                </c:pt>
                <c:pt idx="65">
                  <c:v>Jun 2024</c:v>
                </c:pt>
                <c:pt idx="66">
                  <c:v>Jul 2024</c:v>
                </c:pt>
                <c:pt idx="67">
                  <c:v>Aug 2024</c:v>
                </c:pt>
                <c:pt idx="68">
                  <c:v>Sep 2024</c:v>
                </c:pt>
                <c:pt idx="69">
                  <c:v>Oct 2024</c:v>
                </c:pt>
                <c:pt idx="70">
                  <c:v>Nov 2024</c:v>
                </c:pt>
                <c:pt idx="71">
                  <c:v>Dec 2024</c:v>
                </c:pt>
                <c:pt idx="72">
                  <c:v>Jan 2025</c:v>
                </c:pt>
                <c:pt idx="73">
                  <c:v>Feb 2025</c:v>
                </c:pt>
                <c:pt idx="74">
                  <c:v>Mar 2025</c:v>
                </c:pt>
                <c:pt idx="75">
                  <c:v>Apr 2025</c:v>
                </c:pt>
              </c:strCache>
            </c:strRef>
          </c:cat>
          <c:val>
            <c:numRef>
              <c:f>Dashboard!$C$101:$C$176</c:f>
              <c:numCache>
                <c:formatCode>General</c:formatCode>
                <c:ptCount val="76"/>
                <c:pt idx="0">
                  <c:v>14.7</c:v>
                </c:pt>
                <c:pt idx="1">
                  <c:v>15</c:v>
                </c:pt>
                <c:pt idx="2">
                  <c:v>14.1</c:v>
                </c:pt>
                <c:pt idx="3">
                  <c:v>13</c:v>
                </c:pt>
                <c:pt idx="4">
                  <c:v>12.8</c:v>
                </c:pt>
                <c:pt idx="5">
                  <c:v>13</c:v>
                </c:pt>
                <c:pt idx="6">
                  <c:v>13.9</c:v>
                </c:pt>
                <c:pt idx="7">
                  <c:v>13.8</c:v>
                </c:pt>
                <c:pt idx="8">
                  <c:v>13.8</c:v>
                </c:pt>
                <c:pt idx="9">
                  <c:v>13.4</c:v>
                </c:pt>
                <c:pt idx="10">
                  <c:v>13.3</c:v>
                </c:pt>
                <c:pt idx="11">
                  <c:v>13.7</c:v>
                </c:pt>
                <c:pt idx="12">
                  <c:v>13.5</c:v>
                </c:pt>
                <c:pt idx="13">
                  <c:v>13.6</c:v>
                </c:pt>
                <c:pt idx="14">
                  <c:v>13.2</c:v>
                </c:pt>
                <c:pt idx="15">
                  <c:v>12.8</c:v>
                </c:pt>
                <c:pt idx="16">
                  <c:v>12.9</c:v>
                </c:pt>
                <c:pt idx="17">
                  <c:v>13.4</c:v>
                </c:pt>
                <c:pt idx="18">
                  <c:v>13</c:v>
                </c:pt>
                <c:pt idx="19">
                  <c:v>13.2</c:v>
                </c:pt>
                <c:pt idx="20">
                  <c:v>12.7</c:v>
                </c:pt>
                <c:pt idx="21">
                  <c:v>12.7</c:v>
                </c:pt>
                <c:pt idx="22">
                  <c:v>12.9</c:v>
                </c:pt>
                <c:pt idx="23">
                  <c:v>13.2</c:v>
                </c:pt>
                <c:pt idx="24">
                  <c:v>13.4</c:v>
                </c:pt>
                <c:pt idx="25">
                  <c:v>13.4</c:v>
                </c:pt>
                <c:pt idx="26">
                  <c:v>13.1</c:v>
                </c:pt>
                <c:pt idx="27">
                  <c:v>13.1</c:v>
                </c:pt>
                <c:pt idx="28">
                  <c:v>12.8</c:v>
                </c:pt>
                <c:pt idx="29">
                  <c:v>12</c:v>
                </c:pt>
                <c:pt idx="30">
                  <c:v>12</c:v>
                </c:pt>
                <c:pt idx="31">
                  <c:v>11.7</c:v>
                </c:pt>
                <c:pt idx="32">
                  <c:v>11.1</c:v>
                </c:pt>
                <c:pt idx="33">
                  <c:v>11.2</c:v>
                </c:pt>
                <c:pt idx="34">
                  <c:v>11.1</c:v>
                </c:pt>
                <c:pt idx="35">
                  <c:v>11.2</c:v>
                </c:pt>
                <c:pt idx="36">
                  <c:v>11.4</c:v>
                </c:pt>
                <c:pt idx="37">
                  <c:v>11.4</c:v>
                </c:pt>
                <c:pt idx="38">
                  <c:v>11.5</c:v>
                </c:pt>
                <c:pt idx="39">
                  <c:v>11.3</c:v>
                </c:pt>
                <c:pt idx="40">
                  <c:v>10.7</c:v>
                </c:pt>
                <c:pt idx="41">
                  <c:v>10.3</c:v>
                </c:pt>
                <c:pt idx="42">
                  <c:v>10.1</c:v>
                </c:pt>
                <c:pt idx="43">
                  <c:v>10.1</c:v>
                </c:pt>
                <c:pt idx="44">
                  <c:v>10.1</c:v>
                </c:pt>
                <c:pt idx="45">
                  <c:v>10.199999999999999</c:v>
                </c:pt>
                <c:pt idx="46">
                  <c:v>10.3</c:v>
                </c:pt>
                <c:pt idx="47">
                  <c:v>10.3</c:v>
                </c:pt>
                <c:pt idx="48">
                  <c:v>10.4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</c:v>
                </c:pt>
                <c:pt idx="52">
                  <c:v>9.6</c:v>
                </c:pt>
                <c:pt idx="53">
                  <c:v>9.6</c:v>
                </c:pt>
                <c:pt idx="54">
                  <c:v>9.4</c:v>
                </c:pt>
                <c:pt idx="55">
                  <c:v>9.1999999999999993</c:v>
                </c:pt>
                <c:pt idx="56">
                  <c:v>8.9</c:v>
                </c:pt>
                <c:pt idx="57">
                  <c:v>8.6</c:v>
                </c:pt>
                <c:pt idx="58">
                  <c:v>8.5</c:v>
                </c:pt>
                <c:pt idx="59">
                  <c:v>8.6999999999999993</c:v>
                </c:pt>
                <c:pt idx="60">
                  <c:v>8.8000000000000007</c:v>
                </c:pt>
                <c:pt idx="61">
                  <c:v>8.6999999999999993</c:v>
                </c:pt>
                <c:pt idx="62">
                  <c:v>8.4</c:v>
                </c:pt>
                <c:pt idx="63">
                  <c:v>8.5</c:v>
                </c:pt>
                <c:pt idx="64">
                  <c:v>8.4</c:v>
                </c:pt>
                <c:pt idx="65">
                  <c:v>8.5</c:v>
                </c:pt>
                <c:pt idx="66">
                  <c:v>8.1999999999999993</c:v>
                </c:pt>
                <c:pt idx="67">
                  <c:v>8.3000000000000007</c:v>
                </c:pt>
                <c:pt idx="68">
                  <c:v>8.3000000000000007</c:v>
                </c:pt>
                <c:pt idx="69">
                  <c:v>8.1999999999999993</c:v>
                </c:pt>
                <c:pt idx="70">
                  <c:v>8.1</c:v>
                </c:pt>
                <c:pt idx="71">
                  <c:v>8.1</c:v>
                </c:pt>
                <c:pt idx="72">
                  <c:v>8.3000000000000007</c:v>
                </c:pt>
                <c:pt idx="73">
                  <c:v>8.5</c:v>
                </c:pt>
                <c:pt idx="74">
                  <c:v>8.1999999999999993</c:v>
                </c:pt>
                <c:pt idx="7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6-5441-8BE9-B58A7D08C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6"/>
        <c:tickMarkSkip val="6"/>
        <c:noMultiLvlLbl val="1"/>
      </c:catAx>
      <c:valAx>
        <c:axId val="100"/>
        <c:scaling>
          <c:orientation val="minMax"/>
          <c:max val="16"/>
          <c:min val="7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Unemployment Rate (%)</a:t>
                </a:r>
              </a:p>
            </c:rich>
          </c:tx>
          <c:overlay val="1"/>
        </c:title>
        <c:numFmt formatCode="0.0&quot;%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1008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E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6" customWidth="1"/>
    <col min="3" max="3" width="8" customWidth="1"/>
    <col min="4" max="4" width="16" customWidth="1"/>
    <col min="5" max="5" width="14" customWidth="1"/>
  </cols>
  <sheetData>
    <row r="1" spans="1:5" x14ac:dyDescent="0.2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 x14ac:dyDescent="0.2">
      <c r="A2" s="2" t="s">
        <v>102</v>
      </c>
      <c r="B2" s="2">
        <v>1</v>
      </c>
      <c r="C2" s="2">
        <v>2019</v>
      </c>
      <c r="D2" s="3">
        <v>20.350000000000001</v>
      </c>
      <c r="E2" s="4">
        <v>14.7</v>
      </c>
    </row>
    <row r="3" spans="1:5" x14ac:dyDescent="0.2">
      <c r="A3" s="5" t="s">
        <v>103</v>
      </c>
      <c r="B3" s="5">
        <v>2</v>
      </c>
      <c r="C3" s="5">
        <v>2019</v>
      </c>
      <c r="D3" s="6">
        <v>19.670000000000002</v>
      </c>
      <c r="E3" s="7">
        <v>15</v>
      </c>
    </row>
    <row r="4" spans="1:5" x14ac:dyDescent="0.2">
      <c r="A4" s="2" t="s">
        <v>104</v>
      </c>
      <c r="B4" s="2">
        <v>3</v>
      </c>
      <c r="C4" s="2">
        <v>2019</v>
      </c>
      <c r="D4" s="3">
        <v>19.71</v>
      </c>
      <c r="E4" s="4">
        <v>14.1</v>
      </c>
    </row>
    <row r="5" spans="1:5" x14ac:dyDescent="0.2">
      <c r="A5" s="5" t="s">
        <v>105</v>
      </c>
      <c r="B5" s="5">
        <v>4</v>
      </c>
      <c r="C5" s="5">
        <v>2019</v>
      </c>
      <c r="D5" s="6">
        <v>19.5</v>
      </c>
      <c r="E5" s="7">
        <v>13</v>
      </c>
    </row>
    <row r="6" spans="1:5" x14ac:dyDescent="0.2">
      <c r="A6" s="2" t="s">
        <v>106</v>
      </c>
      <c r="B6" s="2">
        <v>5</v>
      </c>
      <c r="C6" s="2">
        <v>2019</v>
      </c>
      <c r="D6" s="3">
        <v>18.71</v>
      </c>
      <c r="E6" s="4">
        <v>12.8</v>
      </c>
    </row>
    <row r="7" spans="1:5" x14ac:dyDescent="0.2">
      <c r="A7" s="5" t="s">
        <v>107</v>
      </c>
      <c r="B7" s="5">
        <v>6</v>
      </c>
      <c r="C7" s="5">
        <v>2019</v>
      </c>
      <c r="D7" s="6">
        <v>15.72</v>
      </c>
      <c r="E7" s="7">
        <v>13</v>
      </c>
    </row>
    <row r="8" spans="1:5" x14ac:dyDescent="0.2">
      <c r="A8" s="2" t="s">
        <v>108</v>
      </c>
      <c r="B8" s="2">
        <v>7</v>
      </c>
      <c r="C8" s="2">
        <v>2019</v>
      </c>
      <c r="D8" s="3">
        <v>16.649999999999999</v>
      </c>
      <c r="E8" s="4">
        <v>13.9</v>
      </c>
    </row>
    <row r="9" spans="1:5" x14ac:dyDescent="0.2">
      <c r="A9" s="5" t="s">
        <v>109</v>
      </c>
      <c r="B9" s="5">
        <v>8</v>
      </c>
      <c r="C9" s="5">
        <v>2019</v>
      </c>
      <c r="D9" s="6">
        <v>15.01</v>
      </c>
      <c r="E9" s="7">
        <v>13.8</v>
      </c>
    </row>
    <row r="10" spans="1:5" x14ac:dyDescent="0.2">
      <c r="A10" s="2" t="s">
        <v>110</v>
      </c>
      <c r="B10" s="2">
        <v>9</v>
      </c>
      <c r="C10" s="2">
        <v>2019</v>
      </c>
      <c r="D10" s="3">
        <v>9.26</v>
      </c>
      <c r="E10" s="4">
        <v>13.8</v>
      </c>
    </row>
    <row r="11" spans="1:5" x14ac:dyDescent="0.2">
      <c r="A11" s="5" t="s">
        <v>111</v>
      </c>
      <c r="B11" s="5">
        <v>10</v>
      </c>
      <c r="C11" s="5">
        <v>2019</v>
      </c>
      <c r="D11" s="6">
        <v>8.5500000000000007</v>
      </c>
      <c r="E11" s="7">
        <v>13.4</v>
      </c>
    </row>
    <row r="12" spans="1:5" x14ac:dyDescent="0.2">
      <c r="A12" s="2" t="s">
        <v>112</v>
      </c>
      <c r="B12" s="2">
        <v>11</v>
      </c>
      <c r="C12" s="2">
        <v>2019</v>
      </c>
      <c r="D12" s="3">
        <v>10.56</v>
      </c>
      <c r="E12" s="4">
        <v>13.3</v>
      </c>
    </row>
    <row r="13" spans="1:5" x14ac:dyDescent="0.2">
      <c r="A13" s="5" t="s">
        <v>113</v>
      </c>
      <c r="B13" s="5">
        <v>12</v>
      </c>
      <c r="C13" s="5">
        <v>2019</v>
      </c>
      <c r="D13" s="6">
        <v>11.84</v>
      </c>
      <c r="E13" s="7">
        <v>13.7</v>
      </c>
    </row>
    <row r="14" spans="1:5" x14ac:dyDescent="0.2">
      <c r="A14" s="2" t="s">
        <v>114</v>
      </c>
      <c r="B14" s="2">
        <v>1</v>
      </c>
      <c r="C14" s="2">
        <v>2020</v>
      </c>
      <c r="D14" s="3">
        <v>12.15</v>
      </c>
      <c r="E14" s="4">
        <v>13.5</v>
      </c>
    </row>
    <row r="15" spans="1:5" x14ac:dyDescent="0.2">
      <c r="A15" s="5" t="s">
        <v>115</v>
      </c>
      <c r="B15" s="5">
        <v>2</v>
      </c>
      <c r="C15" s="5">
        <v>2020</v>
      </c>
      <c r="D15" s="6">
        <v>12.37</v>
      </c>
      <c r="E15" s="7">
        <v>13.6</v>
      </c>
    </row>
    <row r="16" spans="1:5" x14ac:dyDescent="0.2">
      <c r="A16" s="2" t="s">
        <v>116</v>
      </c>
      <c r="B16" s="2">
        <v>3</v>
      </c>
      <c r="C16" s="2">
        <v>2020</v>
      </c>
      <c r="D16" s="3">
        <v>11.86</v>
      </c>
      <c r="E16" s="4">
        <v>13.2</v>
      </c>
    </row>
    <row r="17" spans="1:5" x14ac:dyDescent="0.2">
      <c r="A17" s="5" t="s">
        <v>117</v>
      </c>
      <c r="B17" s="5">
        <v>4</v>
      </c>
      <c r="C17" s="5">
        <v>2020</v>
      </c>
      <c r="D17" s="6">
        <v>10.94</v>
      </c>
      <c r="E17" s="7">
        <v>12.8</v>
      </c>
    </row>
    <row r="18" spans="1:5" x14ac:dyDescent="0.2">
      <c r="A18" s="2" t="s">
        <v>118</v>
      </c>
      <c r="B18" s="2">
        <v>5</v>
      </c>
      <c r="C18" s="2">
        <v>2020</v>
      </c>
      <c r="D18" s="3">
        <v>11.39</v>
      </c>
      <c r="E18" s="4">
        <v>12.9</v>
      </c>
    </row>
    <row r="19" spans="1:5" x14ac:dyDescent="0.2">
      <c r="A19" s="5" t="s">
        <v>119</v>
      </c>
      <c r="B19" s="5">
        <v>6</v>
      </c>
      <c r="C19" s="5">
        <v>2020</v>
      </c>
      <c r="D19" s="6">
        <v>12.62</v>
      </c>
      <c r="E19" s="7">
        <v>13.4</v>
      </c>
    </row>
    <row r="20" spans="1:5" x14ac:dyDescent="0.2">
      <c r="A20" s="2" t="s">
        <v>120</v>
      </c>
      <c r="B20" s="2">
        <v>7</v>
      </c>
      <c r="C20" s="2">
        <v>2020</v>
      </c>
      <c r="D20" s="3">
        <v>11.76</v>
      </c>
      <c r="E20" s="4">
        <v>13</v>
      </c>
    </row>
    <row r="21" spans="1:5" x14ac:dyDescent="0.2">
      <c r="A21" s="5" t="s">
        <v>121</v>
      </c>
      <c r="B21" s="5">
        <v>8</v>
      </c>
      <c r="C21" s="5">
        <v>2020</v>
      </c>
      <c r="D21" s="6">
        <v>11.77</v>
      </c>
      <c r="E21" s="7">
        <v>13.2</v>
      </c>
    </row>
    <row r="22" spans="1:5" x14ac:dyDescent="0.2">
      <c r="A22" s="2" t="s">
        <v>122</v>
      </c>
      <c r="B22" s="2">
        <v>9</v>
      </c>
      <c r="C22" s="2">
        <v>2020</v>
      </c>
      <c r="D22" s="3">
        <v>11.75</v>
      </c>
      <c r="E22" s="4">
        <v>12.7</v>
      </c>
    </row>
    <row r="23" spans="1:5" x14ac:dyDescent="0.2">
      <c r="A23" s="5" t="s">
        <v>123</v>
      </c>
      <c r="B23" s="5">
        <v>10</v>
      </c>
      <c r="C23" s="5">
        <v>2020</v>
      </c>
      <c r="D23" s="6">
        <v>11.89</v>
      </c>
      <c r="E23" s="7">
        <v>12.7</v>
      </c>
    </row>
    <row r="24" spans="1:5" x14ac:dyDescent="0.2">
      <c r="A24" s="2" t="s">
        <v>124</v>
      </c>
      <c r="B24" s="2">
        <v>11</v>
      </c>
      <c r="C24" s="2">
        <v>2020</v>
      </c>
      <c r="D24" s="3">
        <v>14.03</v>
      </c>
      <c r="E24" s="4">
        <v>12.9</v>
      </c>
    </row>
    <row r="25" spans="1:5" x14ac:dyDescent="0.2">
      <c r="A25" s="5" t="s">
        <v>125</v>
      </c>
      <c r="B25" s="5">
        <v>12</v>
      </c>
      <c r="C25" s="5">
        <v>2020</v>
      </c>
      <c r="D25" s="6">
        <v>14.6</v>
      </c>
      <c r="E25" s="7">
        <v>13.2</v>
      </c>
    </row>
    <row r="26" spans="1:5" x14ac:dyDescent="0.2">
      <c r="A26" s="2" t="s">
        <v>126</v>
      </c>
      <c r="B26" s="2">
        <v>1</v>
      </c>
      <c r="C26" s="2">
        <v>2021</v>
      </c>
      <c r="D26" s="3">
        <v>14.97</v>
      </c>
      <c r="E26" s="4">
        <v>13.4</v>
      </c>
    </row>
    <row r="27" spans="1:5" x14ac:dyDescent="0.2">
      <c r="A27" s="5" t="s">
        <v>127</v>
      </c>
      <c r="B27" s="5">
        <v>2</v>
      </c>
      <c r="C27" s="5">
        <v>2021</v>
      </c>
      <c r="D27" s="6">
        <v>15.61</v>
      </c>
      <c r="E27" s="7">
        <v>13.4</v>
      </c>
    </row>
    <row r="28" spans="1:5" x14ac:dyDescent="0.2">
      <c r="A28" s="2" t="s">
        <v>128</v>
      </c>
      <c r="B28" s="2">
        <v>3</v>
      </c>
      <c r="C28" s="2">
        <v>2021</v>
      </c>
      <c r="D28" s="3">
        <v>16.190000000000001</v>
      </c>
      <c r="E28" s="4">
        <v>13.1</v>
      </c>
    </row>
    <row r="29" spans="1:5" x14ac:dyDescent="0.2">
      <c r="A29" s="5" t="s">
        <v>129</v>
      </c>
      <c r="B29" s="5">
        <v>4</v>
      </c>
      <c r="C29" s="5">
        <v>2021</v>
      </c>
      <c r="D29" s="6">
        <v>17.14</v>
      </c>
      <c r="E29" s="7">
        <v>13.1</v>
      </c>
    </row>
    <row r="30" spans="1:5" x14ac:dyDescent="0.2">
      <c r="A30" s="2" t="s">
        <v>130</v>
      </c>
      <c r="B30" s="2">
        <v>5</v>
      </c>
      <c r="C30" s="2">
        <v>2021</v>
      </c>
      <c r="D30" s="3">
        <v>16.59</v>
      </c>
      <c r="E30" s="4">
        <v>12.8</v>
      </c>
    </row>
    <row r="31" spans="1:5" x14ac:dyDescent="0.2">
      <c r="A31" s="5" t="s">
        <v>131</v>
      </c>
      <c r="B31" s="5">
        <v>6</v>
      </c>
      <c r="C31" s="5">
        <v>2021</v>
      </c>
      <c r="D31" s="6">
        <v>17.53</v>
      </c>
      <c r="E31" s="7">
        <v>12</v>
      </c>
    </row>
    <row r="32" spans="1:5" x14ac:dyDescent="0.2">
      <c r="A32" s="2" t="s">
        <v>132</v>
      </c>
      <c r="B32" s="2">
        <v>7</v>
      </c>
      <c r="C32" s="2">
        <v>2021</v>
      </c>
      <c r="D32" s="3">
        <v>18.95</v>
      </c>
      <c r="E32" s="4">
        <v>12</v>
      </c>
    </row>
    <row r="33" spans="1:5" x14ac:dyDescent="0.2">
      <c r="A33" s="5" t="s">
        <v>133</v>
      </c>
      <c r="B33" s="5">
        <v>8</v>
      </c>
      <c r="C33" s="5">
        <v>2021</v>
      </c>
      <c r="D33" s="6">
        <v>19.25</v>
      </c>
      <c r="E33" s="7">
        <v>11.7</v>
      </c>
    </row>
    <row r="34" spans="1:5" x14ac:dyDescent="0.2">
      <c r="A34" s="2" t="s">
        <v>134</v>
      </c>
      <c r="B34" s="2">
        <v>9</v>
      </c>
      <c r="C34" s="2">
        <v>2021</v>
      </c>
      <c r="D34" s="3">
        <v>19.579999999999998</v>
      </c>
      <c r="E34" s="4">
        <v>11.1</v>
      </c>
    </row>
    <row r="35" spans="1:5" x14ac:dyDescent="0.2">
      <c r="A35" s="5" t="s">
        <v>135</v>
      </c>
      <c r="B35" s="5">
        <v>10</v>
      </c>
      <c r="C35" s="5">
        <v>2021</v>
      </c>
      <c r="D35" s="6">
        <v>19.89</v>
      </c>
      <c r="E35" s="7">
        <v>11.2</v>
      </c>
    </row>
    <row r="36" spans="1:5" x14ac:dyDescent="0.2">
      <c r="A36" s="2" t="s">
        <v>136</v>
      </c>
      <c r="B36" s="2">
        <v>11</v>
      </c>
      <c r="C36" s="2">
        <v>2021</v>
      </c>
      <c r="D36" s="3">
        <v>21.31</v>
      </c>
      <c r="E36" s="4">
        <v>11.1</v>
      </c>
    </row>
    <row r="37" spans="1:5" x14ac:dyDescent="0.2">
      <c r="A37" s="5" t="s">
        <v>137</v>
      </c>
      <c r="B37" s="5">
        <v>12</v>
      </c>
      <c r="C37" s="5">
        <v>2021</v>
      </c>
      <c r="D37" s="6">
        <v>36.08</v>
      </c>
      <c r="E37" s="7">
        <v>11.2</v>
      </c>
    </row>
    <row r="38" spans="1:5" x14ac:dyDescent="0.2">
      <c r="A38" s="2" t="s">
        <v>138</v>
      </c>
      <c r="B38" s="2">
        <v>1</v>
      </c>
      <c r="C38" s="2">
        <v>2022</v>
      </c>
      <c r="D38" s="3">
        <v>48.69</v>
      </c>
      <c r="E38" s="4">
        <v>11.4</v>
      </c>
    </row>
    <row r="39" spans="1:5" x14ac:dyDescent="0.2">
      <c r="A39" s="5" t="s">
        <v>139</v>
      </c>
      <c r="B39" s="5">
        <v>2</v>
      </c>
      <c r="C39" s="5">
        <v>2022</v>
      </c>
      <c r="D39" s="6">
        <v>54.44</v>
      </c>
      <c r="E39" s="7">
        <v>11.4</v>
      </c>
    </row>
    <row r="40" spans="1:5" x14ac:dyDescent="0.2">
      <c r="A40" s="2" t="s">
        <v>140</v>
      </c>
      <c r="B40" s="2">
        <v>3</v>
      </c>
      <c r="C40" s="2">
        <v>2022</v>
      </c>
      <c r="D40" s="3">
        <v>61.14</v>
      </c>
      <c r="E40" s="4">
        <v>11.5</v>
      </c>
    </row>
    <row r="41" spans="1:5" x14ac:dyDescent="0.2">
      <c r="A41" s="5" t="s">
        <v>141</v>
      </c>
      <c r="B41" s="5">
        <v>4</v>
      </c>
      <c r="C41" s="5">
        <v>2022</v>
      </c>
      <c r="D41" s="6">
        <v>69.97</v>
      </c>
      <c r="E41" s="7">
        <v>11.3</v>
      </c>
    </row>
    <row r="42" spans="1:5" x14ac:dyDescent="0.2">
      <c r="A42" s="2" t="s">
        <v>142</v>
      </c>
      <c r="B42" s="2">
        <v>5</v>
      </c>
      <c r="C42" s="2">
        <v>2022</v>
      </c>
      <c r="D42" s="3">
        <v>73.5</v>
      </c>
      <c r="E42" s="4">
        <v>10.7</v>
      </c>
    </row>
    <row r="43" spans="1:5" x14ac:dyDescent="0.2">
      <c r="A43" s="5" t="s">
        <v>143</v>
      </c>
      <c r="B43" s="5">
        <v>6</v>
      </c>
      <c r="C43" s="5">
        <v>2022</v>
      </c>
      <c r="D43" s="6">
        <v>78.62</v>
      </c>
      <c r="E43" s="7">
        <v>10.3</v>
      </c>
    </row>
    <row r="44" spans="1:5" x14ac:dyDescent="0.2">
      <c r="A44" s="2" t="s">
        <v>144</v>
      </c>
      <c r="B44" s="2">
        <v>7</v>
      </c>
      <c r="C44" s="2">
        <v>2022</v>
      </c>
      <c r="D44" s="3">
        <v>79.599999999999994</v>
      </c>
      <c r="E44" s="4">
        <v>10.1</v>
      </c>
    </row>
    <row r="45" spans="1:5" x14ac:dyDescent="0.2">
      <c r="A45" s="5" t="s">
        <v>145</v>
      </c>
      <c r="B45" s="5">
        <v>8</v>
      </c>
      <c r="C45" s="5">
        <v>2022</v>
      </c>
      <c r="D45" s="6">
        <v>80.209999999999994</v>
      </c>
      <c r="E45" s="7">
        <v>10.1</v>
      </c>
    </row>
    <row r="46" spans="1:5" x14ac:dyDescent="0.2">
      <c r="A46" s="2" t="s">
        <v>146</v>
      </c>
      <c r="B46" s="2">
        <v>9</v>
      </c>
      <c r="C46" s="2">
        <v>2022</v>
      </c>
      <c r="D46" s="3">
        <v>83.45</v>
      </c>
      <c r="E46" s="4">
        <v>10.1</v>
      </c>
    </row>
    <row r="47" spans="1:5" x14ac:dyDescent="0.2">
      <c r="A47" s="5" t="s">
        <v>147</v>
      </c>
      <c r="B47" s="5">
        <v>10</v>
      </c>
      <c r="C47" s="5">
        <v>2022</v>
      </c>
      <c r="D47" s="6">
        <v>85.51</v>
      </c>
      <c r="E47" s="7">
        <v>10.199999999999999</v>
      </c>
    </row>
    <row r="48" spans="1:5" x14ac:dyDescent="0.2">
      <c r="A48" s="2" t="s">
        <v>148</v>
      </c>
      <c r="B48" s="2">
        <v>11</v>
      </c>
      <c r="C48" s="2">
        <v>2022</v>
      </c>
      <c r="D48" s="3">
        <v>84.39</v>
      </c>
      <c r="E48" s="4">
        <v>10.3</v>
      </c>
    </row>
    <row r="49" spans="1:5" x14ac:dyDescent="0.2">
      <c r="A49" s="5" t="s">
        <v>149</v>
      </c>
      <c r="B49" s="5">
        <v>12</v>
      </c>
      <c r="C49" s="5">
        <v>2022</v>
      </c>
      <c r="D49" s="6">
        <v>64.27</v>
      </c>
      <c r="E49" s="7">
        <v>10.3</v>
      </c>
    </row>
    <row r="50" spans="1:5" x14ac:dyDescent="0.2">
      <c r="A50" s="2" t="s">
        <v>150</v>
      </c>
      <c r="B50" s="2">
        <v>1</v>
      </c>
      <c r="C50" s="2">
        <v>2023</v>
      </c>
      <c r="D50" s="3">
        <v>57.68</v>
      </c>
      <c r="E50" s="4">
        <v>10.4</v>
      </c>
    </row>
    <row r="51" spans="1:5" x14ac:dyDescent="0.2">
      <c r="A51" s="5" t="s">
        <v>151</v>
      </c>
      <c r="B51" s="5">
        <v>2</v>
      </c>
      <c r="C51" s="5">
        <v>2023</v>
      </c>
      <c r="D51" s="6">
        <v>55.18</v>
      </c>
      <c r="E51" s="7">
        <v>10</v>
      </c>
    </row>
    <row r="52" spans="1:5" x14ac:dyDescent="0.2">
      <c r="A52" s="2" t="s">
        <v>152</v>
      </c>
      <c r="B52" s="2">
        <v>3</v>
      </c>
      <c r="C52" s="2">
        <v>2023</v>
      </c>
      <c r="D52" s="3">
        <v>50.51</v>
      </c>
      <c r="E52" s="4">
        <v>10.199999999999999</v>
      </c>
    </row>
    <row r="53" spans="1:5" x14ac:dyDescent="0.2">
      <c r="A53" s="5" t="s">
        <v>153</v>
      </c>
      <c r="B53" s="5">
        <v>4</v>
      </c>
      <c r="C53" s="5">
        <v>2023</v>
      </c>
      <c r="D53" s="6">
        <v>43.68</v>
      </c>
      <c r="E53" s="7">
        <v>10</v>
      </c>
    </row>
    <row r="54" spans="1:5" x14ac:dyDescent="0.2">
      <c r="A54" s="2" t="s">
        <v>154</v>
      </c>
      <c r="B54" s="2">
        <v>5</v>
      </c>
      <c r="C54" s="2">
        <v>2023</v>
      </c>
      <c r="D54" s="3">
        <v>39.590000000000003</v>
      </c>
      <c r="E54" s="4">
        <v>9.6</v>
      </c>
    </row>
    <row r="55" spans="1:5" x14ac:dyDescent="0.2">
      <c r="A55" s="5" t="s">
        <v>155</v>
      </c>
      <c r="B55" s="5">
        <v>6</v>
      </c>
      <c r="C55" s="5">
        <v>2023</v>
      </c>
      <c r="D55" s="6">
        <v>38.21</v>
      </c>
      <c r="E55" s="7">
        <v>9.6</v>
      </c>
    </row>
    <row r="56" spans="1:5" x14ac:dyDescent="0.2">
      <c r="A56" s="2" t="s">
        <v>156</v>
      </c>
      <c r="B56" s="2">
        <v>7</v>
      </c>
      <c r="C56" s="2">
        <v>2023</v>
      </c>
      <c r="D56" s="3">
        <v>47.83</v>
      </c>
      <c r="E56" s="4">
        <v>9.4</v>
      </c>
    </row>
    <row r="57" spans="1:5" x14ac:dyDescent="0.2">
      <c r="A57" s="5" t="s">
        <v>157</v>
      </c>
      <c r="B57" s="5">
        <v>8</v>
      </c>
      <c r="C57" s="5">
        <v>2023</v>
      </c>
      <c r="D57" s="6">
        <v>58.94</v>
      </c>
      <c r="E57" s="7">
        <v>9.1999999999999993</v>
      </c>
    </row>
    <row r="58" spans="1:5" x14ac:dyDescent="0.2">
      <c r="A58" s="2" t="s">
        <v>158</v>
      </c>
      <c r="B58" s="2">
        <v>9</v>
      </c>
      <c r="C58" s="2">
        <v>2023</v>
      </c>
      <c r="D58" s="3">
        <v>61.53</v>
      </c>
      <c r="E58" s="4">
        <v>8.9</v>
      </c>
    </row>
    <row r="59" spans="1:5" x14ac:dyDescent="0.2">
      <c r="A59" s="5" t="s">
        <v>159</v>
      </c>
      <c r="B59" s="5">
        <v>10</v>
      </c>
      <c r="C59" s="5">
        <v>2023</v>
      </c>
      <c r="D59" s="6">
        <v>61.36</v>
      </c>
      <c r="E59" s="7">
        <v>8.6</v>
      </c>
    </row>
    <row r="60" spans="1:5" x14ac:dyDescent="0.2">
      <c r="A60" s="2" t="s">
        <v>160</v>
      </c>
      <c r="B60" s="2">
        <v>11</v>
      </c>
      <c r="C60" s="2">
        <v>2023</v>
      </c>
      <c r="D60" s="3">
        <v>61.98</v>
      </c>
      <c r="E60" s="4">
        <v>8.5</v>
      </c>
    </row>
    <row r="61" spans="1:5" x14ac:dyDescent="0.2">
      <c r="A61" s="5" t="s">
        <v>161</v>
      </c>
      <c r="B61" s="5">
        <v>12</v>
      </c>
      <c r="C61" s="5">
        <v>2023</v>
      </c>
      <c r="D61" s="6">
        <v>64.77</v>
      </c>
      <c r="E61" s="7">
        <v>8.6999999999999993</v>
      </c>
    </row>
    <row r="62" spans="1:5" x14ac:dyDescent="0.2">
      <c r="A62" s="2" t="s">
        <v>162</v>
      </c>
      <c r="B62" s="2">
        <v>1</v>
      </c>
      <c r="C62" s="2">
        <v>2024</v>
      </c>
      <c r="D62" s="3">
        <v>64.86</v>
      </c>
      <c r="E62" s="4">
        <v>8.8000000000000007</v>
      </c>
    </row>
    <row r="63" spans="1:5" x14ac:dyDescent="0.2">
      <c r="A63" s="5" t="s">
        <v>163</v>
      </c>
      <c r="B63" s="5">
        <v>2</v>
      </c>
      <c r="C63" s="5">
        <v>2024</v>
      </c>
      <c r="D63" s="6">
        <v>67.069999999999993</v>
      </c>
      <c r="E63" s="7">
        <v>8.6999999999999993</v>
      </c>
    </row>
    <row r="64" spans="1:5" x14ac:dyDescent="0.2">
      <c r="A64" s="2" t="s">
        <v>164</v>
      </c>
      <c r="B64" s="2">
        <v>3</v>
      </c>
      <c r="C64" s="2">
        <v>2024</v>
      </c>
      <c r="D64" s="3">
        <v>68.5</v>
      </c>
      <c r="E64" s="4">
        <v>8.4</v>
      </c>
    </row>
    <row r="65" spans="1:5" x14ac:dyDescent="0.2">
      <c r="A65" s="5" t="s">
        <v>165</v>
      </c>
      <c r="B65" s="5">
        <v>4</v>
      </c>
      <c r="C65" s="5">
        <v>2024</v>
      </c>
      <c r="D65" s="6">
        <v>69.8</v>
      </c>
      <c r="E65" s="7">
        <v>8.5</v>
      </c>
    </row>
    <row r="66" spans="1:5" x14ac:dyDescent="0.2">
      <c r="A66" s="2" t="s">
        <v>166</v>
      </c>
      <c r="B66" s="2">
        <v>5</v>
      </c>
      <c r="C66" s="2">
        <v>2024</v>
      </c>
      <c r="D66" s="3">
        <v>75.45</v>
      </c>
      <c r="E66" s="4">
        <v>8.4</v>
      </c>
    </row>
    <row r="67" spans="1:5" x14ac:dyDescent="0.2">
      <c r="A67" s="5" t="s">
        <v>167</v>
      </c>
      <c r="B67" s="5">
        <v>6</v>
      </c>
      <c r="C67" s="5">
        <v>2024</v>
      </c>
      <c r="D67" s="6">
        <v>71.599999999999994</v>
      </c>
      <c r="E67" s="7">
        <v>8.5</v>
      </c>
    </row>
    <row r="68" spans="1:5" x14ac:dyDescent="0.2">
      <c r="A68" s="2" t="s">
        <v>168</v>
      </c>
      <c r="B68" s="2">
        <v>7</v>
      </c>
      <c r="C68" s="2">
        <v>2024</v>
      </c>
      <c r="D68" s="3">
        <v>61.78</v>
      </c>
      <c r="E68" s="4">
        <v>8.1999999999999993</v>
      </c>
    </row>
    <row r="69" spans="1:5" x14ac:dyDescent="0.2">
      <c r="A69" s="5" t="s">
        <v>169</v>
      </c>
      <c r="B69" s="5">
        <v>8</v>
      </c>
      <c r="C69" s="5">
        <v>2024</v>
      </c>
      <c r="D69" s="6">
        <v>51.97</v>
      </c>
      <c r="E69" s="7">
        <v>8.3000000000000007</v>
      </c>
    </row>
    <row r="70" spans="1:5" x14ac:dyDescent="0.2">
      <c r="A70" s="2" t="s">
        <v>170</v>
      </c>
      <c r="B70" s="2">
        <v>9</v>
      </c>
      <c r="C70" s="2">
        <v>2024</v>
      </c>
      <c r="D70" s="3">
        <v>49.38</v>
      </c>
      <c r="E70" s="4">
        <v>8.3000000000000007</v>
      </c>
    </row>
    <row r="71" spans="1:5" x14ac:dyDescent="0.2">
      <c r="A71" s="5" t="s">
        <v>171</v>
      </c>
      <c r="B71" s="5">
        <v>10</v>
      </c>
      <c r="C71" s="5">
        <v>2024</v>
      </c>
      <c r="D71" s="6">
        <v>48.58</v>
      </c>
      <c r="E71" s="7">
        <v>8.1999999999999993</v>
      </c>
    </row>
    <row r="72" spans="1:5" x14ac:dyDescent="0.2">
      <c r="A72" s="2" t="s">
        <v>172</v>
      </c>
      <c r="B72" s="2">
        <v>11</v>
      </c>
      <c r="C72" s="2">
        <v>2024</v>
      </c>
      <c r="D72" s="3">
        <v>47.09</v>
      </c>
      <c r="E72" s="4">
        <v>8.1</v>
      </c>
    </row>
    <row r="73" spans="1:5" x14ac:dyDescent="0.2">
      <c r="A73" s="5" t="s">
        <v>173</v>
      </c>
      <c r="B73" s="5">
        <v>12</v>
      </c>
      <c r="C73" s="5">
        <v>2024</v>
      </c>
      <c r="D73" s="6">
        <v>44.38</v>
      </c>
      <c r="E73" s="7">
        <v>8.1</v>
      </c>
    </row>
    <row r="74" spans="1:5" x14ac:dyDescent="0.2">
      <c r="A74" s="2" t="s">
        <v>174</v>
      </c>
      <c r="B74" s="2">
        <v>1</v>
      </c>
      <c r="C74" s="2">
        <v>2025</v>
      </c>
      <c r="D74" s="3">
        <v>42.12</v>
      </c>
      <c r="E74" s="4">
        <v>8.3000000000000007</v>
      </c>
    </row>
    <row r="75" spans="1:5" x14ac:dyDescent="0.2">
      <c r="A75" s="5" t="s">
        <v>175</v>
      </c>
      <c r="B75" s="5">
        <v>2</v>
      </c>
      <c r="C75" s="5">
        <v>2025</v>
      </c>
      <c r="D75" s="6">
        <v>39.049999999999997</v>
      </c>
      <c r="E75" s="7">
        <v>8.5</v>
      </c>
    </row>
    <row r="76" spans="1:5" x14ac:dyDescent="0.2">
      <c r="A76" s="2" t="s">
        <v>176</v>
      </c>
      <c r="B76" s="2">
        <v>3</v>
      </c>
      <c r="C76" s="2">
        <v>2025</v>
      </c>
      <c r="D76" s="3">
        <v>38.1</v>
      </c>
      <c r="E76" s="4">
        <v>8.1999999999999993</v>
      </c>
    </row>
    <row r="77" spans="1:5" x14ac:dyDescent="0.2">
      <c r="A77" s="5" t="s">
        <v>177</v>
      </c>
      <c r="B77" s="5">
        <v>4</v>
      </c>
      <c r="C77" s="5">
        <v>2025</v>
      </c>
      <c r="D77" s="6">
        <v>37.86</v>
      </c>
      <c r="E77" s="7">
        <v>8</v>
      </c>
    </row>
  </sheetData>
  <conditionalFormatting sqref="D2:D7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G31"/>
  <sheetViews>
    <sheetView workbookViewId="0"/>
  </sheetViews>
  <sheetFormatPr baseColWidth="10" defaultColWidth="8.83203125" defaultRowHeight="15" x14ac:dyDescent="0.2"/>
  <cols>
    <col min="1" max="7" width="18" customWidth="1"/>
  </cols>
  <sheetData>
    <row r="1" spans="1:7" ht="19" x14ac:dyDescent="0.25">
      <c r="A1" s="33" t="s">
        <v>178</v>
      </c>
      <c r="B1" s="16"/>
      <c r="C1" s="16"/>
      <c r="D1" s="16"/>
      <c r="E1" s="16"/>
    </row>
    <row r="3" spans="1:7" x14ac:dyDescent="0.2">
      <c r="A3" s="1" t="s">
        <v>99</v>
      </c>
      <c r="B3" s="1" t="s">
        <v>179</v>
      </c>
      <c r="C3" s="1" t="s">
        <v>180</v>
      </c>
      <c r="D3" s="1" t="s">
        <v>181</v>
      </c>
      <c r="E3" s="1" t="s">
        <v>182</v>
      </c>
      <c r="F3" s="1" t="s">
        <v>183</v>
      </c>
      <c r="G3" s="1" t="s">
        <v>184</v>
      </c>
    </row>
    <row r="4" spans="1:7" x14ac:dyDescent="0.2">
      <c r="A4" s="2">
        <v>2019</v>
      </c>
      <c r="B4" s="2">
        <v>15.46</v>
      </c>
      <c r="C4" s="2">
        <v>8.5500000000000007</v>
      </c>
      <c r="D4" s="2">
        <v>20.350000000000001</v>
      </c>
      <c r="E4" s="2">
        <v>13.71</v>
      </c>
      <c r="F4" s="2">
        <v>12.8</v>
      </c>
      <c r="G4" s="2">
        <v>15</v>
      </c>
    </row>
    <row r="5" spans="1:7" x14ac:dyDescent="0.2">
      <c r="A5" s="5">
        <v>2020</v>
      </c>
      <c r="B5" s="5">
        <v>12.26</v>
      </c>
      <c r="C5" s="5">
        <v>10.94</v>
      </c>
      <c r="D5" s="5">
        <v>14.6</v>
      </c>
      <c r="E5" s="5">
        <v>13.09</v>
      </c>
      <c r="F5" s="5">
        <v>12.7</v>
      </c>
      <c r="G5" s="5">
        <v>13.6</v>
      </c>
    </row>
    <row r="6" spans="1:7" x14ac:dyDescent="0.2">
      <c r="A6" s="2">
        <v>2021</v>
      </c>
      <c r="B6" s="2">
        <v>19.420000000000002</v>
      </c>
      <c r="C6" s="2">
        <v>14.97</v>
      </c>
      <c r="D6" s="2">
        <v>36.08</v>
      </c>
      <c r="E6" s="2">
        <v>12.17</v>
      </c>
      <c r="F6" s="2">
        <v>11.1</v>
      </c>
      <c r="G6" s="2">
        <v>13.4</v>
      </c>
    </row>
    <row r="7" spans="1:7" x14ac:dyDescent="0.2">
      <c r="A7" s="5">
        <v>2022</v>
      </c>
      <c r="B7" s="5">
        <v>71.98</v>
      </c>
      <c r="C7" s="5">
        <v>48.69</v>
      </c>
      <c r="D7" s="5">
        <v>85.51</v>
      </c>
      <c r="E7" s="5">
        <v>10.64</v>
      </c>
      <c r="F7" s="5">
        <v>10.1</v>
      </c>
      <c r="G7" s="5">
        <v>11.5</v>
      </c>
    </row>
    <row r="8" spans="1:7" x14ac:dyDescent="0.2">
      <c r="A8" s="2">
        <v>2023</v>
      </c>
      <c r="B8" s="2">
        <v>53.44</v>
      </c>
      <c r="C8" s="2">
        <v>38.21</v>
      </c>
      <c r="D8" s="2">
        <v>64.77</v>
      </c>
      <c r="E8" s="2">
        <v>9.42</v>
      </c>
      <c r="F8" s="2">
        <v>8.5</v>
      </c>
      <c r="G8" s="2">
        <v>10.4</v>
      </c>
    </row>
    <row r="9" spans="1:7" x14ac:dyDescent="0.2">
      <c r="A9" s="5">
        <v>2024</v>
      </c>
      <c r="B9" s="5">
        <v>60.04</v>
      </c>
      <c r="C9" s="5">
        <v>44.38</v>
      </c>
      <c r="D9" s="5">
        <v>75.45</v>
      </c>
      <c r="E9" s="5">
        <v>8.3800000000000008</v>
      </c>
      <c r="F9" s="5">
        <v>8.1</v>
      </c>
      <c r="G9" s="5">
        <v>8.8000000000000007</v>
      </c>
    </row>
    <row r="10" spans="1:7" x14ac:dyDescent="0.2">
      <c r="A10" s="2">
        <v>2025</v>
      </c>
      <c r="B10" s="2">
        <v>39.28</v>
      </c>
      <c r="C10" s="2">
        <v>37.86</v>
      </c>
      <c r="D10" s="2">
        <v>42.12</v>
      </c>
      <c r="E10" s="2">
        <v>8.25</v>
      </c>
      <c r="F10" s="2">
        <v>8</v>
      </c>
      <c r="G10" s="2">
        <v>8.5</v>
      </c>
    </row>
    <row r="13" spans="1:7" ht="19" x14ac:dyDescent="0.25">
      <c r="A13" s="33" t="s">
        <v>185</v>
      </c>
      <c r="B13" s="16"/>
      <c r="C13" s="16"/>
      <c r="D13" s="16"/>
      <c r="E13" s="16"/>
    </row>
    <row r="15" spans="1:7" ht="19" x14ac:dyDescent="0.25">
      <c r="A15" s="8" t="s">
        <v>186</v>
      </c>
      <c r="C15" s="9">
        <f>CORREL('Ham Veri'!D2:D77,'Ham Veri'!E2:E77)</f>
        <v>-0.75565525353509655</v>
      </c>
    </row>
    <row r="17" spans="1:7" x14ac:dyDescent="0.2">
      <c r="A17" s="34" t="s">
        <v>187</v>
      </c>
      <c r="B17" s="16"/>
      <c r="C17" s="16"/>
      <c r="D17" s="16"/>
      <c r="E17" s="16"/>
      <c r="F17" s="16"/>
      <c r="G17" s="16"/>
    </row>
    <row r="20" spans="1:7" ht="19" x14ac:dyDescent="0.25">
      <c r="A20" s="33" t="s">
        <v>188</v>
      </c>
      <c r="B20" s="16"/>
      <c r="C20" s="16"/>
      <c r="D20" s="16"/>
      <c r="E20" s="16"/>
    </row>
    <row r="22" spans="1:7" x14ac:dyDescent="0.2">
      <c r="A22" s="10" t="s">
        <v>189</v>
      </c>
      <c r="C22" s="11">
        <v>76</v>
      </c>
      <c r="D22" s="12" t="s">
        <v>190</v>
      </c>
    </row>
    <row r="23" spans="1:7" x14ac:dyDescent="0.2">
      <c r="A23" s="10" t="s">
        <v>191</v>
      </c>
      <c r="C23" s="11" t="s">
        <v>192</v>
      </c>
      <c r="D23" s="12"/>
    </row>
    <row r="24" spans="1:7" x14ac:dyDescent="0.2">
      <c r="A24" s="10"/>
      <c r="C24" s="11"/>
      <c r="D24" s="12"/>
    </row>
    <row r="25" spans="1:7" x14ac:dyDescent="0.2">
      <c r="A25" s="10" t="s">
        <v>193</v>
      </c>
      <c r="C25" s="11">
        <v>38.79</v>
      </c>
      <c r="D25" s="12" t="s">
        <v>194</v>
      </c>
    </row>
    <row r="26" spans="1:7" x14ac:dyDescent="0.2">
      <c r="A26" s="10" t="s">
        <v>195</v>
      </c>
      <c r="C26" s="11" t="s">
        <v>196</v>
      </c>
      <c r="D26" s="12" t="s">
        <v>194</v>
      </c>
    </row>
    <row r="27" spans="1:7" x14ac:dyDescent="0.2">
      <c r="A27" s="10" t="s">
        <v>197</v>
      </c>
      <c r="C27" s="11" t="s">
        <v>198</v>
      </c>
      <c r="D27" s="12" t="s">
        <v>194</v>
      </c>
    </row>
    <row r="28" spans="1:7" x14ac:dyDescent="0.2">
      <c r="A28" s="10"/>
      <c r="C28" s="11"/>
      <c r="D28" s="12"/>
    </row>
    <row r="29" spans="1:7" x14ac:dyDescent="0.2">
      <c r="A29" s="10" t="s">
        <v>199</v>
      </c>
      <c r="C29" s="11">
        <v>11.08</v>
      </c>
      <c r="D29" s="12" t="s">
        <v>194</v>
      </c>
    </row>
    <row r="30" spans="1:7" x14ac:dyDescent="0.2">
      <c r="A30" s="10" t="s">
        <v>200</v>
      </c>
      <c r="C30" s="11" t="s">
        <v>201</v>
      </c>
      <c r="D30" s="12" t="s">
        <v>194</v>
      </c>
    </row>
    <row r="31" spans="1:7" x14ac:dyDescent="0.2">
      <c r="A31" s="10" t="s">
        <v>202</v>
      </c>
      <c r="C31" s="11" t="s">
        <v>203</v>
      </c>
      <c r="D31" s="12" t="s">
        <v>194</v>
      </c>
    </row>
  </sheetData>
  <mergeCells count="4">
    <mergeCell ref="A20:E20"/>
    <mergeCell ref="A1:E1"/>
    <mergeCell ref="A13:E13"/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3A5C"/>
    <pageSetUpPr fitToPage="1"/>
  </sheetPr>
  <dimension ref="A1:O176"/>
  <sheetViews>
    <sheetView tabSelected="1" topLeftCell="A5" workbookViewId="0">
      <selection sqref="A1:N2"/>
    </sheetView>
  </sheetViews>
  <sheetFormatPr baseColWidth="10" defaultColWidth="8.83203125" defaultRowHeight="15" x14ac:dyDescent="0.2"/>
  <cols>
    <col min="1" max="14" width="10" customWidth="1"/>
  </cols>
  <sheetData>
    <row r="1" spans="1:15" ht="30" customHeight="1" x14ac:dyDescent="0.2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5" ht="20" customHeight="1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5" ht="20" customHeight="1" x14ac:dyDescent="0.2">
      <c r="A3" s="18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5" spans="1:15" x14ac:dyDescent="0.2">
      <c r="A5" s="19" t="s">
        <v>2</v>
      </c>
      <c r="B5" s="16"/>
      <c r="C5" s="16"/>
      <c r="E5" s="20" t="s">
        <v>3</v>
      </c>
      <c r="F5" s="16"/>
      <c r="G5" s="16"/>
      <c r="I5" s="21" t="s">
        <v>4</v>
      </c>
      <c r="J5" s="16"/>
      <c r="K5" s="16"/>
      <c r="M5" s="25" t="s">
        <v>5</v>
      </c>
      <c r="N5" s="16"/>
      <c r="O5" s="16"/>
    </row>
    <row r="6" spans="1:15" ht="35" customHeight="1" x14ac:dyDescent="0.2">
      <c r="A6" s="24" t="s">
        <v>6</v>
      </c>
      <c r="B6" s="16"/>
      <c r="C6" s="16"/>
      <c r="E6" s="31" t="s">
        <v>7</v>
      </c>
      <c r="F6" s="16"/>
      <c r="G6" s="16"/>
      <c r="I6" s="32" t="s">
        <v>8</v>
      </c>
      <c r="J6" s="16"/>
      <c r="K6" s="16"/>
      <c r="M6" s="29" t="s">
        <v>9</v>
      </c>
      <c r="N6" s="16"/>
      <c r="O6" s="16"/>
    </row>
    <row r="7" spans="1:15" x14ac:dyDescent="0.2">
      <c r="A7" s="28" t="s">
        <v>10</v>
      </c>
      <c r="B7" s="16"/>
      <c r="C7" s="16"/>
      <c r="E7" s="30" t="s">
        <v>11</v>
      </c>
      <c r="F7" s="16"/>
      <c r="G7" s="16"/>
      <c r="I7" s="27" t="s">
        <v>12</v>
      </c>
      <c r="J7" s="16"/>
      <c r="K7" s="16"/>
      <c r="M7" s="26" t="s">
        <v>11</v>
      </c>
      <c r="N7" s="16"/>
      <c r="O7" s="16"/>
    </row>
    <row r="10" spans="1:15" ht="17" x14ac:dyDescent="0.2">
      <c r="J10" s="15" t="s">
        <v>13</v>
      </c>
      <c r="K10" s="16"/>
      <c r="L10" s="16"/>
      <c r="M10" s="16"/>
    </row>
    <row r="11" spans="1:15" x14ac:dyDescent="0.2">
      <c r="J11" s="13" t="s">
        <v>14</v>
      </c>
      <c r="K11" s="13" t="s">
        <v>15</v>
      </c>
      <c r="L11" s="13" t="s">
        <v>16</v>
      </c>
      <c r="M11" s="13" t="s">
        <v>17</v>
      </c>
    </row>
    <row r="12" spans="1:15" x14ac:dyDescent="0.2">
      <c r="J12" s="2">
        <v>2019</v>
      </c>
      <c r="K12" s="2">
        <v>15.46</v>
      </c>
      <c r="L12" s="2">
        <v>13.71</v>
      </c>
      <c r="M12" s="2">
        <v>0.30099999999999999</v>
      </c>
    </row>
    <row r="13" spans="1:15" x14ac:dyDescent="0.2">
      <c r="J13" s="5">
        <v>2020</v>
      </c>
      <c r="K13" s="5">
        <v>12.26</v>
      </c>
      <c r="L13" s="5">
        <v>13.09</v>
      </c>
      <c r="M13" s="5">
        <v>0.248</v>
      </c>
    </row>
    <row r="14" spans="1:15" x14ac:dyDescent="0.2">
      <c r="J14" s="2">
        <v>2021</v>
      </c>
      <c r="K14" s="2">
        <v>19.420000000000002</v>
      </c>
      <c r="L14" s="2">
        <v>12.17</v>
      </c>
      <c r="M14" s="2">
        <v>-0.61699999999999999</v>
      </c>
    </row>
    <row r="15" spans="1:15" x14ac:dyDescent="0.2">
      <c r="J15" s="5">
        <v>2022</v>
      </c>
      <c r="K15" s="14">
        <v>71.98</v>
      </c>
      <c r="L15" s="5">
        <v>10.64</v>
      </c>
      <c r="M15" s="5">
        <v>-0.83599999999999997</v>
      </c>
    </row>
    <row r="16" spans="1:15" x14ac:dyDescent="0.2">
      <c r="J16" s="2">
        <v>2023</v>
      </c>
      <c r="K16" s="14">
        <v>53.44</v>
      </c>
      <c r="L16" s="2">
        <v>9.42</v>
      </c>
      <c r="M16" s="2">
        <v>-0.54100000000000004</v>
      </c>
    </row>
    <row r="17" spans="10:13" x14ac:dyDescent="0.2">
      <c r="J17" s="5">
        <v>2024</v>
      </c>
      <c r="K17" s="14">
        <v>60.04</v>
      </c>
      <c r="L17" s="5">
        <v>8.3800000000000008</v>
      </c>
      <c r="M17" s="5">
        <v>0.69</v>
      </c>
    </row>
    <row r="18" spans="10:13" x14ac:dyDescent="0.2">
      <c r="J18" s="2">
        <v>2025</v>
      </c>
      <c r="K18" s="2">
        <v>39.28</v>
      </c>
      <c r="L18" s="2">
        <v>8.25</v>
      </c>
      <c r="M18" s="2">
        <v>0.40699999999999997</v>
      </c>
    </row>
    <row r="20" spans="10:13" ht="19" x14ac:dyDescent="0.25">
      <c r="J20" s="8" t="s">
        <v>18</v>
      </c>
      <c r="K20" s="9">
        <f>CORREL(B101:B176,C101:C176)</f>
        <v>-0.75565525353509655</v>
      </c>
    </row>
    <row r="22" spans="10:13" x14ac:dyDescent="0.2">
      <c r="J22" s="22" t="s">
        <v>19</v>
      </c>
      <c r="K22" s="23"/>
      <c r="L22" s="23"/>
      <c r="M22" s="23"/>
    </row>
    <row r="23" spans="10:13" x14ac:dyDescent="0.2">
      <c r="J23" s="23"/>
      <c r="K23" s="23"/>
      <c r="L23" s="23"/>
      <c r="M23" s="23"/>
    </row>
    <row r="24" spans="10:13" x14ac:dyDescent="0.2">
      <c r="J24" s="23"/>
      <c r="K24" s="23"/>
      <c r="L24" s="23"/>
      <c r="M24" s="23"/>
    </row>
    <row r="25" spans="10:13" x14ac:dyDescent="0.2">
      <c r="J25" s="23"/>
      <c r="K25" s="23"/>
      <c r="L25" s="23"/>
      <c r="M25" s="23"/>
    </row>
    <row r="100" spans="1:3" x14ac:dyDescent="0.2">
      <c r="A100" t="s">
        <v>20</v>
      </c>
      <c r="B100" t="s">
        <v>21</v>
      </c>
      <c r="C100" t="s">
        <v>22</v>
      </c>
    </row>
    <row r="101" spans="1:3" x14ac:dyDescent="0.2">
      <c r="A101" t="s">
        <v>23</v>
      </c>
      <c r="B101">
        <v>20.350000000000001</v>
      </c>
      <c r="C101">
        <v>14.7</v>
      </c>
    </row>
    <row r="102" spans="1:3" x14ac:dyDescent="0.2">
      <c r="A102" t="s">
        <v>24</v>
      </c>
      <c r="B102">
        <v>19.670000000000002</v>
      </c>
      <c r="C102">
        <v>15</v>
      </c>
    </row>
    <row r="103" spans="1:3" x14ac:dyDescent="0.2">
      <c r="A103" t="s">
        <v>25</v>
      </c>
      <c r="B103">
        <v>19.71</v>
      </c>
      <c r="C103">
        <v>14.1</v>
      </c>
    </row>
    <row r="104" spans="1:3" x14ac:dyDescent="0.2">
      <c r="A104" t="s">
        <v>26</v>
      </c>
      <c r="B104">
        <v>19.5</v>
      </c>
      <c r="C104">
        <v>13</v>
      </c>
    </row>
    <row r="105" spans="1:3" x14ac:dyDescent="0.2">
      <c r="A105" t="s">
        <v>27</v>
      </c>
      <c r="B105">
        <v>18.71</v>
      </c>
      <c r="C105">
        <v>12.8</v>
      </c>
    </row>
    <row r="106" spans="1:3" x14ac:dyDescent="0.2">
      <c r="A106" t="s">
        <v>28</v>
      </c>
      <c r="B106">
        <v>15.72</v>
      </c>
      <c r="C106">
        <v>13</v>
      </c>
    </row>
    <row r="107" spans="1:3" x14ac:dyDescent="0.2">
      <c r="A107" t="s">
        <v>29</v>
      </c>
      <c r="B107">
        <v>16.649999999999999</v>
      </c>
      <c r="C107">
        <v>13.9</v>
      </c>
    </row>
    <row r="108" spans="1:3" x14ac:dyDescent="0.2">
      <c r="A108" t="s">
        <v>30</v>
      </c>
      <c r="B108">
        <v>15.01</v>
      </c>
      <c r="C108">
        <v>13.8</v>
      </c>
    </row>
    <row r="109" spans="1:3" x14ac:dyDescent="0.2">
      <c r="A109" t="s">
        <v>31</v>
      </c>
      <c r="B109">
        <v>9.26</v>
      </c>
      <c r="C109">
        <v>13.8</v>
      </c>
    </row>
    <row r="110" spans="1:3" x14ac:dyDescent="0.2">
      <c r="A110" t="s">
        <v>32</v>
      </c>
      <c r="B110">
        <v>8.5500000000000007</v>
      </c>
      <c r="C110">
        <v>13.4</v>
      </c>
    </row>
    <row r="111" spans="1:3" x14ac:dyDescent="0.2">
      <c r="A111" t="s">
        <v>33</v>
      </c>
      <c r="B111">
        <v>10.56</v>
      </c>
      <c r="C111">
        <v>13.3</v>
      </c>
    </row>
    <row r="112" spans="1:3" x14ac:dyDescent="0.2">
      <c r="A112" t="s">
        <v>34</v>
      </c>
      <c r="B112">
        <v>11.84</v>
      </c>
      <c r="C112">
        <v>13.7</v>
      </c>
    </row>
    <row r="113" spans="1:3" x14ac:dyDescent="0.2">
      <c r="A113" t="s">
        <v>35</v>
      </c>
      <c r="B113">
        <v>12.15</v>
      </c>
      <c r="C113">
        <v>13.5</v>
      </c>
    </row>
    <row r="114" spans="1:3" x14ac:dyDescent="0.2">
      <c r="A114" t="s">
        <v>36</v>
      </c>
      <c r="B114">
        <v>12.37</v>
      </c>
      <c r="C114">
        <v>13.6</v>
      </c>
    </row>
    <row r="115" spans="1:3" x14ac:dyDescent="0.2">
      <c r="A115" t="s">
        <v>37</v>
      </c>
      <c r="B115">
        <v>11.86</v>
      </c>
      <c r="C115">
        <v>13.2</v>
      </c>
    </row>
    <row r="116" spans="1:3" x14ac:dyDescent="0.2">
      <c r="A116" t="s">
        <v>38</v>
      </c>
      <c r="B116">
        <v>10.94</v>
      </c>
      <c r="C116">
        <v>12.8</v>
      </c>
    </row>
    <row r="117" spans="1:3" x14ac:dyDescent="0.2">
      <c r="A117" t="s">
        <v>39</v>
      </c>
      <c r="B117">
        <v>11.39</v>
      </c>
      <c r="C117">
        <v>12.9</v>
      </c>
    </row>
    <row r="118" spans="1:3" x14ac:dyDescent="0.2">
      <c r="A118" t="s">
        <v>40</v>
      </c>
      <c r="B118">
        <v>12.62</v>
      </c>
      <c r="C118">
        <v>13.4</v>
      </c>
    </row>
    <row r="119" spans="1:3" x14ac:dyDescent="0.2">
      <c r="A119" t="s">
        <v>41</v>
      </c>
      <c r="B119">
        <v>11.76</v>
      </c>
      <c r="C119">
        <v>13</v>
      </c>
    </row>
    <row r="120" spans="1:3" x14ac:dyDescent="0.2">
      <c r="A120" t="s">
        <v>42</v>
      </c>
      <c r="B120">
        <v>11.77</v>
      </c>
      <c r="C120">
        <v>13.2</v>
      </c>
    </row>
    <row r="121" spans="1:3" x14ac:dyDescent="0.2">
      <c r="A121" t="s">
        <v>43</v>
      </c>
      <c r="B121">
        <v>11.75</v>
      </c>
      <c r="C121">
        <v>12.7</v>
      </c>
    </row>
    <row r="122" spans="1:3" x14ac:dyDescent="0.2">
      <c r="A122" t="s">
        <v>44</v>
      </c>
      <c r="B122">
        <v>11.89</v>
      </c>
      <c r="C122">
        <v>12.7</v>
      </c>
    </row>
    <row r="123" spans="1:3" x14ac:dyDescent="0.2">
      <c r="A123" t="s">
        <v>45</v>
      </c>
      <c r="B123">
        <v>14.03</v>
      </c>
      <c r="C123">
        <v>12.9</v>
      </c>
    </row>
    <row r="124" spans="1:3" x14ac:dyDescent="0.2">
      <c r="A124" t="s">
        <v>46</v>
      </c>
      <c r="B124">
        <v>14.6</v>
      </c>
      <c r="C124">
        <v>13.2</v>
      </c>
    </row>
    <row r="125" spans="1:3" x14ac:dyDescent="0.2">
      <c r="A125" t="s">
        <v>47</v>
      </c>
      <c r="B125">
        <v>14.97</v>
      </c>
      <c r="C125">
        <v>13.4</v>
      </c>
    </row>
    <row r="126" spans="1:3" x14ac:dyDescent="0.2">
      <c r="A126" t="s">
        <v>48</v>
      </c>
      <c r="B126">
        <v>15.61</v>
      </c>
      <c r="C126">
        <v>13.4</v>
      </c>
    </row>
    <row r="127" spans="1:3" x14ac:dyDescent="0.2">
      <c r="A127" t="s">
        <v>49</v>
      </c>
      <c r="B127">
        <v>16.190000000000001</v>
      </c>
      <c r="C127">
        <v>13.1</v>
      </c>
    </row>
    <row r="128" spans="1:3" x14ac:dyDescent="0.2">
      <c r="A128" t="s">
        <v>50</v>
      </c>
      <c r="B128">
        <v>17.14</v>
      </c>
      <c r="C128">
        <v>13.1</v>
      </c>
    </row>
    <row r="129" spans="1:3" x14ac:dyDescent="0.2">
      <c r="A129" t="s">
        <v>51</v>
      </c>
      <c r="B129">
        <v>16.59</v>
      </c>
      <c r="C129">
        <v>12.8</v>
      </c>
    </row>
    <row r="130" spans="1:3" x14ac:dyDescent="0.2">
      <c r="A130" t="s">
        <v>52</v>
      </c>
      <c r="B130">
        <v>17.53</v>
      </c>
      <c r="C130">
        <v>12</v>
      </c>
    </row>
    <row r="131" spans="1:3" x14ac:dyDescent="0.2">
      <c r="A131" t="s">
        <v>53</v>
      </c>
      <c r="B131">
        <v>18.95</v>
      </c>
      <c r="C131">
        <v>12</v>
      </c>
    </row>
    <row r="132" spans="1:3" x14ac:dyDescent="0.2">
      <c r="A132" t="s">
        <v>54</v>
      </c>
      <c r="B132">
        <v>19.25</v>
      </c>
      <c r="C132">
        <v>11.7</v>
      </c>
    </row>
    <row r="133" spans="1:3" x14ac:dyDescent="0.2">
      <c r="A133" t="s">
        <v>55</v>
      </c>
      <c r="B133">
        <v>19.579999999999998</v>
      </c>
      <c r="C133">
        <v>11.1</v>
      </c>
    </row>
    <row r="134" spans="1:3" x14ac:dyDescent="0.2">
      <c r="A134" t="s">
        <v>56</v>
      </c>
      <c r="B134">
        <v>19.89</v>
      </c>
      <c r="C134">
        <v>11.2</v>
      </c>
    </row>
    <row r="135" spans="1:3" x14ac:dyDescent="0.2">
      <c r="A135" t="s">
        <v>57</v>
      </c>
      <c r="B135">
        <v>21.31</v>
      </c>
      <c r="C135">
        <v>11.1</v>
      </c>
    </row>
    <row r="136" spans="1:3" x14ac:dyDescent="0.2">
      <c r="A136" t="s">
        <v>58</v>
      </c>
      <c r="B136">
        <v>36.08</v>
      </c>
      <c r="C136">
        <v>11.2</v>
      </c>
    </row>
    <row r="137" spans="1:3" x14ac:dyDescent="0.2">
      <c r="A137" t="s">
        <v>59</v>
      </c>
      <c r="B137">
        <v>48.69</v>
      </c>
      <c r="C137">
        <v>11.4</v>
      </c>
    </row>
    <row r="138" spans="1:3" x14ac:dyDescent="0.2">
      <c r="A138" t="s">
        <v>60</v>
      </c>
      <c r="B138">
        <v>54.44</v>
      </c>
      <c r="C138">
        <v>11.4</v>
      </c>
    </row>
    <row r="139" spans="1:3" x14ac:dyDescent="0.2">
      <c r="A139" t="s">
        <v>61</v>
      </c>
      <c r="B139">
        <v>61.14</v>
      </c>
      <c r="C139">
        <v>11.5</v>
      </c>
    </row>
    <row r="140" spans="1:3" x14ac:dyDescent="0.2">
      <c r="A140" t="s">
        <v>62</v>
      </c>
      <c r="B140">
        <v>69.97</v>
      </c>
      <c r="C140">
        <v>11.3</v>
      </c>
    </row>
    <row r="141" spans="1:3" x14ac:dyDescent="0.2">
      <c r="A141" t="s">
        <v>63</v>
      </c>
      <c r="B141">
        <v>73.5</v>
      </c>
      <c r="C141">
        <v>10.7</v>
      </c>
    </row>
    <row r="142" spans="1:3" x14ac:dyDescent="0.2">
      <c r="A142" t="s">
        <v>64</v>
      </c>
      <c r="B142">
        <v>78.62</v>
      </c>
      <c r="C142">
        <v>10.3</v>
      </c>
    </row>
    <row r="143" spans="1:3" x14ac:dyDescent="0.2">
      <c r="A143" t="s">
        <v>65</v>
      </c>
      <c r="B143">
        <v>79.599999999999994</v>
      </c>
      <c r="C143">
        <v>10.1</v>
      </c>
    </row>
    <row r="144" spans="1:3" x14ac:dyDescent="0.2">
      <c r="A144" t="s">
        <v>66</v>
      </c>
      <c r="B144">
        <v>80.209999999999994</v>
      </c>
      <c r="C144">
        <v>10.1</v>
      </c>
    </row>
    <row r="145" spans="1:3" x14ac:dyDescent="0.2">
      <c r="A145" t="s">
        <v>67</v>
      </c>
      <c r="B145">
        <v>83.45</v>
      </c>
      <c r="C145">
        <v>10.1</v>
      </c>
    </row>
    <row r="146" spans="1:3" x14ac:dyDescent="0.2">
      <c r="A146" t="s">
        <v>10</v>
      </c>
      <c r="B146">
        <v>85.51</v>
      </c>
      <c r="C146">
        <v>10.199999999999999</v>
      </c>
    </row>
    <row r="147" spans="1:3" x14ac:dyDescent="0.2">
      <c r="A147" t="s">
        <v>68</v>
      </c>
      <c r="B147">
        <v>84.39</v>
      </c>
      <c r="C147">
        <v>10.3</v>
      </c>
    </row>
    <row r="148" spans="1:3" x14ac:dyDescent="0.2">
      <c r="A148" t="s">
        <v>69</v>
      </c>
      <c r="B148">
        <v>64.27</v>
      </c>
      <c r="C148">
        <v>10.3</v>
      </c>
    </row>
    <row r="149" spans="1:3" x14ac:dyDescent="0.2">
      <c r="A149" t="s">
        <v>70</v>
      </c>
      <c r="B149">
        <v>57.68</v>
      </c>
      <c r="C149">
        <v>10.4</v>
      </c>
    </row>
    <row r="150" spans="1:3" x14ac:dyDescent="0.2">
      <c r="A150" t="s">
        <v>71</v>
      </c>
      <c r="B150">
        <v>55.18</v>
      </c>
      <c r="C150">
        <v>10</v>
      </c>
    </row>
    <row r="151" spans="1:3" x14ac:dyDescent="0.2">
      <c r="A151" t="s">
        <v>72</v>
      </c>
      <c r="B151">
        <v>50.51</v>
      </c>
      <c r="C151">
        <v>10.199999999999999</v>
      </c>
    </row>
    <row r="152" spans="1:3" x14ac:dyDescent="0.2">
      <c r="A152" t="s">
        <v>73</v>
      </c>
      <c r="B152">
        <v>43.68</v>
      </c>
      <c r="C152">
        <v>10</v>
      </c>
    </row>
    <row r="153" spans="1:3" x14ac:dyDescent="0.2">
      <c r="A153" t="s">
        <v>74</v>
      </c>
      <c r="B153">
        <v>39.590000000000003</v>
      </c>
      <c r="C153">
        <v>9.6</v>
      </c>
    </row>
    <row r="154" spans="1:3" x14ac:dyDescent="0.2">
      <c r="A154" t="s">
        <v>75</v>
      </c>
      <c r="B154">
        <v>38.21</v>
      </c>
      <c r="C154">
        <v>9.6</v>
      </c>
    </row>
    <row r="155" spans="1:3" x14ac:dyDescent="0.2">
      <c r="A155" t="s">
        <v>76</v>
      </c>
      <c r="B155">
        <v>47.83</v>
      </c>
      <c r="C155">
        <v>9.4</v>
      </c>
    </row>
    <row r="156" spans="1:3" x14ac:dyDescent="0.2">
      <c r="A156" t="s">
        <v>77</v>
      </c>
      <c r="B156">
        <v>58.94</v>
      </c>
      <c r="C156">
        <v>9.1999999999999993</v>
      </c>
    </row>
    <row r="157" spans="1:3" x14ac:dyDescent="0.2">
      <c r="A157" t="s">
        <v>78</v>
      </c>
      <c r="B157">
        <v>61.53</v>
      </c>
      <c r="C157">
        <v>8.9</v>
      </c>
    </row>
    <row r="158" spans="1:3" x14ac:dyDescent="0.2">
      <c r="A158" t="s">
        <v>79</v>
      </c>
      <c r="B158">
        <v>61.36</v>
      </c>
      <c r="C158">
        <v>8.6</v>
      </c>
    </row>
    <row r="159" spans="1:3" x14ac:dyDescent="0.2">
      <c r="A159" t="s">
        <v>80</v>
      </c>
      <c r="B159">
        <v>61.98</v>
      </c>
      <c r="C159">
        <v>8.5</v>
      </c>
    </row>
    <row r="160" spans="1:3" x14ac:dyDescent="0.2">
      <c r="A160" t="s">
        <v>81</v>
      </c>
      <c r="B160">
        <v>64.77</v>
      </c>
      <c r="C160">
        <v>8.6999999999999993</v>
      </c>
    </row>
    <row r="161" spans="1:3" x14ac:dyDescent="0.2">
      <c r="A161" t="s">
        <v>82</v>
      </c>
      <c r="B161">
        <v>64.86</v>
      </c>
      <c r="C161">
        <v>8.8000000000000007</v>
      </c>
    </row>
    <row r="162" spans="1:3" x14ac:dyDescent="0.2">
      <c r="A162" t="s">
        <v>83</v>
      </c>
      <c r="B162">
        <v>67.069999999999993</v>
      </c>
      <c r="C162">
        <v>8.6999999999999993</v>
      </c>
    </row>
    <row r="163" spans="1:3" x14ac:dyDescent="0.2">
      <c r="A163" t="s">
        <v>84</v>
      </c>
      <c r="B163">
        <v>68.5</v>
      </c>
      <c r="C163">
        <v>8.4</v>
      </c>
    </row>
    <row r="164" spans="1:3" x14ac:dyDescent="0.2">
      <c r="A164" t="s">
        <v>85</v>
      </c>
      <c r="B164">
        <v>69.8</v>
      </c>
      <c r="C164">
        <v>8.5</v>
      </c>
    </row>
    <row r="165" spans="1:3" x14ac:dyDescent="0.2">
      <c r="A165" t="s">
        <v>86</v>
      </c>
      <c r="B165">
        <v>75.45</v>
      </c>
      <c r="C165">
        <v>8.4</v>
      </c>
    </row>
    <row r="166" spans="1:3" x14ac:dyDescent="0.2">
      <c r="A166" t="s">
        <v>87</v>
      </c>
      <c r="B166">
        <v>71.599999999999994</v>
      </c>
      <c r="C166">
        <v>8.5</v>
      </c>
    </row>
    <row r="167" spans="1:3" x14ac:dyDescent="0.2">
      <c r="A167" t="s">
        <v>88</v>
      </c>
      <c r="B167">
        <v>61.78</v>
      </c>
      <c r="C167">
        <v>8.1999999999999993</v>
      </c>
    </row>
    <row r="168" spans="1:3" x14ac:dyDescent="0.2">
      <c r="A168" t="s">
        <v>89</v>
      </c>
      <c r="B168">
        <v>51.97</v>
      </c>
      <c r="C168">
        <v>8.3000000000000007</v>
      </c>
    </row>
    <row r="169" spans="1:3" x14ac:dyDescent="0.2">
      <c r="A169" t="s">
        <v>90</v>
      </c>
      <c r="B169">
        <v>49.38</v>
      </c>
      <c r="C169">
        <v>8.3000000000000007</v>
      </c>
    </row>
    <row r="170" spans="1:3" x14ac:dyDescent="0.2">
      <c r="A170" t="s">
        <v>91</v>
      </c>
      <c r="B170">
        <v>48.58</v>
      </c>
      <c r="C170">
        <v>8.1999999999999993</v>
      </c>
    </row>
    <row r="171" spans="1:3" x14ac:dyDescent="0.2">
      <c r="A171" t="s">
        <v>92</v>
      </c>
      <c r="B171">
        <v>47.09</v>
      </c>
      <c r="C171">
        <v>8.1</v>
      </c>
    </row>
    <row r="172" spans="1:3" x14ac:dyDescent="0.2">
      <c r="A172" t="s">
        <v>93</v>
      </c>
      <c r="B172">
        <v>44.38</v>
      </c>
      <c r="C172">
        <v>8.1</v>
      </c>
    </row>
    <row r="173" spans="1:3" x14ac:dyDescent="0.2">
      <c r="A173" t="s">
        <v>94</v>
      </c>
      <c r="B173">
        <v>42.12</v>
      </c>
      <c r="C173">
        <v>8.3000000000000007</v>
      </c>
    </row>
    <row r="174" spans="1:3" x14ac:dyDescent="0.2">
      <c r="A174" t="s">
        <v>95</v>
      </c>
      <c r="B174">
        <v>39.049999999999997</v>
      </c>
      <c r="C174">
        <v>8.5</v>
      </c>
    </row>
    <row r="175" spans="1:3" x14ac:dyDescent="0.2">
      <c r="A175" t="s">
        <v>96</v>
      </c>
      <c r="B175">
        <v>38.1</v>
      </c>
      <c r="C175">
        <v>8.1999999999999993</v>
      </c>
    </row>
    <row r="176" spans="1:3" x14ac:dyDescent="0.2">
      <c r="A176" t="s">
        <v>11</v>
      </c>
      <c r="B176">
        <v>37.86</v>
      </c>
      <c r="C176">
        <v>8</v>
      </c>
    </row>
  </sheetData>
  <mergeCells count="16">
    <mergeCell ref="J22:M25"/>
    <mergeCell ref="A6:C6"/>
    <mergeCell ref="M5:O5"/>
    <mergeCell ref="M7:O7"/>
    <mergeCell ref="I7:K7"/>
    <mergeCell ref="A7:C7"/>
    <mergeCell ref="M6:O6"/>
    <mergeCell ref="E7:G7"/>
    <mergeCell ref="E6:G6"/>
    <mergeCell ref="I6:K6"/>
    <mergeCell ref="J10:M10"/>
    <mergeCell ref="A1:N2"/>
    <mergeCell ref="A3:N3"/>
    <mergeCell ref="A5:C5"/>
    <mergeCell ref="E5:G5"/>
    <mergeCell ref="I5:K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Ham Veri</vt:lpstr>
      <vt:lpstr>Analiz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Batuhan Dinek</cp:lastModifiedBy>
  <dcterms:created xsi:type="dcterms:W3CDTF">2026-04-24T20:43:36Z</dcterms:created>
  <dcterms:modified xsi:type="dcterms:W3CDTF">2026-04-24T20:43:49Z</dcterms:modified>
</cp:coreProperties>
</file>