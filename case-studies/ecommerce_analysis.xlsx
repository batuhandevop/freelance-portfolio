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roduct Performance" sheetId="2" state="visible" r:id="rId2"/>
    <sheet name="Customer Segmentation" sheetId="3" state="visible" r:id="rId3"/>
    <sheet name="Monthly Trends" sheetId="4" state="visible" r:id="rId4"/>
    <sheet name="Dashboard" sheetId="5" state="visible" r:id="rId5"/>
    <sheet name="Country Analysis" sheetId="6" state="visible" r:id="rId6"/>
  </sheets>
  <definedNames>
    <definedName name="_xlnm._FilterDatabase" localSheetId="0" hidden="1">'Raw Data'!$A$1:$L$551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$#,##0.00"/>
    <numFmt numFmtId="167" formatCode="0.0%"/>
    <numFmt numFmtId="168" formatCode="MMM 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A5C"/>
      <sz val="20"/>
    </font>
    <font>
      <name val="Calibri"/>
      <i val="1"/>
      <color rgb="00404040"/>
      <sz val="10"/>
    </font>
    <font>
      <name val="Calibri"/>
      <b val="1"/>
      <color rgb="00FFFFFF"/>
      <sz val="9"/>
    </font>
    <font>
      <name val="Calibri"/>
      <b val="1"/>
      <color rgb="001B3A5C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404040"/>
      <sz val="10"/>
    </font>
  </fonts>
  <fills count="12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8D5B7"/>
        <bgColor rgb="00E8D5B7"/>
      </patternFill>
    </fill>
    <fill>
      <patternFill patternType="solid">
        <fgColor rgb="00FFCDD2"/>
        <bgColor rgb="00FFCDD2"/>
      </patternFill>
    </fill>
    <fill>
      <patternFill patternType="solid">
        <fgColor rgb="00D6E4F0"/>
        <bgColor rgb="00D6E4F0"/>
      </patternFill>
    </fill>
    <fill>
      <patternFill patternType="solid">
        <fgColor rgb="00C8E6C9"/>
        <bgColor rgb="00C8E6C9"/>
      </patternFill>
    </fill>
    <fill>
      <patternFill patternType="solid">
        <fgColor rgb="002E75B6"/>
        <bgColor rgb="002E75B6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66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165" fontId="0" fillId="10" borderId="1" applyAlignment="1" pivotButton="0" quotePrefix="0" xfId="0">
      <alignment horizontal="center" vertical="center"/>
    </xf>
    <xf numFmtId="168" fontId="0" fillId="3" borderId="1" applyAlignment="1" pivotButton="0" quotePrefix="0" xfId="0">
      <alignment horizontal="center" vertical="center"/>
    </xf>
    <xf numFmtId="168" fontId="0" fillId="4" borderId="1" applyAlignment="1" pivotButton="0" quotePrefix="0" xfId="0">
      <alignment horizontal="center" vertical="center"/>
    </xf>
    <xf numFmtId="168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166" fontId="5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Trends'!B200</f>
            </strRef>
          </tx>
          <spPr>
            <a:ln w="2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Trends'!$A$201:$A$224</f>
            </numRef>
          </cat>
          <val>
            <numRef>
              <f>'Monthly Trends'!$B$201:$B$224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MMM YY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Order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Trends'!C200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'Monthly Trends'!$A$201:$A$224</f>
            </numRef>
          </cat>
          <val>
            <numRef>
              <f>'Monthly Trends'!$C$201:$C$224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MMM YY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Orders</a:t>
                </a:r>
              </a:p>
            </rich>
          </tx>
        </title>
        <numFmt formatCode="#,##0" sourceLinked="0"/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 Analysis'!B200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'Country Analysis'!$A$201:$A$206</f>
            </numRef>
          </cat>
          <val>
            <numRef>
              <f>'Country Analysis'!$B$201:$B$206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Distribution by Country</a:t>
            </a:r>
          </a:p>
        </rich>
      </tx>
    </title>
    <plotArea>
      <pieChart>
        <varyColors val="1"/>
        <ser>
          <idx val="0"/>
          <order val="0"/>
          <tx>
            <strRef>
              <f>'Country Analysis'!B200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3"/>
            <spPr>
              <a:solidFill>
                <a:srgbClr val="F39C12"/>
              </a:solidFill>
              <a:ln>
                <a:prstDash val="solid"/>
              </a:ln>
            </spPr>
          </dPt>
          <dPt>
            <idx val="4"/>
            <spPr>
              <a:solidFill>
                <a:srgbClr val="8E44AD"/>
              </a:solidFill>
              <a:ln>
                <a:prstDash val="solid"/>
              </a:ln>
            </spPr>
          </dPt>
          <dPt>
            <idx val="5"/>
            <spPr>
              <a:solidFill>
                <a:srgbClr val="1ABC9C"/>
              </a:solidFill>
              <a:ln>
                <a:prstDash val="solid"/>
              </a:ln>
            </spPr>
          </dPt>
          <cat>
            <numRef>
              <f>'Country Analysis'!$A$201:$A$206</f>
            </numRef>
          </cat>
          <val>
            <numRef>
              <f>'Country Analysis'!$B$201:$B$206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44</row>
      <rowOff>0</rowOff>
    </from>
    <ext cx="100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2" customWidth="1" min="5" max="5"/>
    <col width="22" customWidth="1" min="6" max="6"/>
    <col width="16" customWidth="1" min="7" max="7"/>
    <col width="10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Country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Discount (%)</t>
        </is>
      </c>
      <c r="K1" s="1" t="inlineStr">
        <is>
          <t>Revenue</t>
        </is>
      </c>
      <c r="L1" s="1" t="inlineStr">
        <is>
          <t>Payment Method</t>
        </is>
      </c>
    </row>
    <row r="2">
      <c r="A2" s="2" t="inlineStr">
        <is>
          <t>ORD-00001</t>
        </is>
      </c>
      <c r="B2" s="3" t="n">
        <v>44928</v>
      </c>
      <c r="C2" s="2" t="inlineStr">
        <is>
          <t>CUST-0139</t>
        </is>
      </c>
      <c r="D2" s="2" t="inlineStr">
        <is>
          <t>Michael Kim</t>
        </is>
      </c>
      <c r="E2" s="2" t="inlineStr">
        <is>
          <t>Turkey</t>
        </is>
      </c>
      <c r="F2" s="2" t="inlineStr">
        <is>
          <t>Cotton T-Shirt</t>
        </is>
      </c>
      <c r="G2" s="2" t="inlineStr">
        <is>
          <t>Clothing</t>
        </is>
      </c>
      <c r="H2" s="2" t="n">
        <v>1</v>
      </c>
      <c r="I2" s="4" t="n">
        <v>18.74</v>
      </c>
      <c r="J2" s="5" t="n">
        <v>0.1</v>
      </c>
      <c r="K2" s="4">
        <f>H2*I2*(1-J2)</f>
        <v/>
      </c>
      <c r="L2" s="2" t="inlineStr">
        <is>
          <t>PayPal</t>
        </is>
      </c>
    </row>
    <row r="3">
      <c r="A3" s="6" t="inlineStr">
        <is>
          <t>ORD-00002</t>
        </is>
      </c>
      <c r="B3" s="7" t="n">
        <v>44928</v>
      </c>
      <c r="C3" s="6" t="inlineStr">
        <is>
          <t>CUST-0147</t>
        </is>
      </c>
      <c r="D3" s="6" t="inlineStr">
        <is>
          <t>Hans Schmidt</t>
        </is>
      </c>
      <c r="E3" s="6" t="inlineStr">
        <is>
          <t>France</t>
        </is>
      </c>
      <c r="F3" s="6" t="inlineStr">
        <is>
          <t>Wool Scarf</t>
        </is>
      </c>
      <c r="G3" s="6" t="inlineStr">
        <is>
          <t>Clothing</t>
        </is>
      </c>
      <c r="H3" s="6" t="n">
        <v>2</v>
      </c>
      <c r="I3" s="8" t="n">
        <v>20.8</v>
      </c>
      <c r="J3" s="9" t="n">
        <v>0.2</v>
      </c>
      <c r="K3" s="8">
        <f>H3*I3*(1-J3)</f>
        <v/>
      </c>
      <c r="L3" s="6" t="inlineStr">
        <is>
          <t>Bank Transfer</t>
        </is>
      </c>
    </row>
    <row r="4">
      <c r="A4" s="2" t="inlineStr">
        <is>
          <t>ORD-00003</t>
        </is>
      </c>
      <c r="B4" s="3" t="n">
        <v>44931</v>
      </c>
      <c r="C4" s="2" t="inlineStr">
        <is>
          <t>CUST-0064</t>
        </is>
      </c>
      <c r="D4" s="2" t="inlineStr">
        <is>
          <t>Charlotte Fischer</t>
        </is>
      </c>
      <c r="E4" s="2" t="inlineStr">
        <is>
          <t>Turkey</t>
        </is>
      </c>
      <c r="F4" s="2" t="inlineStr">
        <is>
          <t>Wireless Mouse</t>
        </is>
      </c>
      <c r="G4" s="2" t="inlineStr">
        <is>
          <t>Electronics</t>
        </is>
      </c>
      <c r="H4" s="2" t="n">
        <v>1</v>
      </c>
      <c r="I4" s="4" t="n">
        <v>22.79</v>
      </c>
      <c r="J4" s="5" t="n">
        <v>0.05</v>
      </c>
      <c r="K4" s="4">
        <f>H4*I4*(1-J4)</f>
        <v/>
      </c>
      <c r="L4" s="2" t="inlineStr">
        <is>
          <t>Credit Card</t>
        </is>
      </c>
    </row>
    <row r="5">
      <c r="A5" s="6" t="inlineStr">
        <is>
          <t>ORD-00004</t>
        </is>
      </c>
      <c r="B5" s="7" t="n">
        <v>44931</v>
      </c>
      <c r="C5" s="6" t="inlineStr">
        <is>
          <t>CUST-0136</t>
        </is>
      </c>
      <c r="D5" s="6" t="inlineStr">
        <is>
          <t>Amelia Wilson</t>
        </is>
      </c>
      <c r="E5" s="6" t="inlineStr">
        <is>
          <t>Canada</t>
        </is>
      </c>
      <c r="F5" s="6" t="inlineStr">
        <is>
          <t>Jump Rope</t>
        </is>
      </c>
      <c r="G5" s="6" t="inlineStr">
        <is>
          <t>Sports</t>
        </is>
      </c>
      <c r="H5" s="6" t="n">
        <v>3</v>
      </c>
      <c r="I5" s="8" t="n">
        <v>19.21</v>
      </c>
      <c r="J5" s="9" t="n">
        <v>0.05</v>
      </c>
      <c r="K5" s="8">
        <f>H5*I5*(1-J5)</f>
        <v/>
      </c>
      <c r="L5" s="6" t="inlineStr">
        <is>
          <t>Credit Card</t>
        </is>
      </c>
    </row>
    <row r="6">
      <c r="A6" s="2" t="inlineStr">
        <is>
          <t>ORD-00005</t>
        </is>
      </c>
      <c r="B6" s="3" t="n">
        <v>44934</v>
      </c>
      <c r="C6" s="2" t="inlineStr">
        <is>
          <t>CUST-0131</t>
        </is>
      </c>
      <c r="D6" s="2" t="inlineStr">
        <is>
          <t>Scarlett Rodriguez</t>
        </is>
      </c>
      <c r="E6" s="2" t="inlineStr">
        <is>
          <t>USA</t>
        </is>
      </c>
      <c r="F6" s="2" t="inlineStr">
        <is>
          <t>Business Strategy</t>
        </is>
      </c>
      <c r="G6" s="2" t="inlineStr">
        <is>
          <t>Books</t>
        </is>
      </c>
      <c r="H6" s="2" t="n">
        <v>2</v>
      </c>
      <c r="I6" s="4" t="n">
        <v>31.22</v>
      </c>
      <c r="J6" s="5" t="n">
        <v>0</v>
      </c>
      <c r="K6" s="4">
        <f>H6*I6*(1-J6)</f>
        <v/>
      </c>
      <c r="L6" s="2" t="inlineStr">
        <is>
          <t>PayPal</t>
        </is>
      </c>
    </row>
    <row r="7">
      <c r="A7" s="6" t="inlineStr">
        <is>
          <t>ORD-00006</t>
        </is>
      </c>
      <c r="B7" s="7" t="n">
        <v>44936</v>
      </c>
      <c r="C7" s="6" t="inlineStr">
        <is>
          <t>CUST-0086</t>
        </is>
      </c>
      <c r="D7" s="6" t="inlineStr">
        <is>
          <t>Sophie Miller</t>
        </is>
      </c>
      <c r="E7" s="6" t="inlineStr">
        <is>
          <t>USA</t>
        </is>
      </c>
      <c r="F7" s="6" t="inlineStr">
        <is>
          <t>Power Bank</t>
        </is>
      </c>
      <c r="G7" s="6" t="inlineStr">
        <is>
          <t>Electronics</t>
        </is>
      </c>
      <c r="H7" s="6" t="n">
        <v>3</v>
      </c>
      <c r="I7" s="8" t="n">
        <v>53.95</v>
      </c>
      <c r="J7" s="9" t="n">
        <v>0</v>
      </c>
      <c r="K7" s="8">
        <f>H7*I7*(1-J7)</f>
        <v/>
      </c>
      <c r="L7" s="6" t="inlineStr">
        <is>
          <t>Credit Card</t>
        </is>
      </c>
    </row>
    <row r="8">
      <c r="A8" s="2" t="inlineStr">
        <is>
          <t>ORD-00007</t>
        </is>
      </c>
      <c r="B8" s="3" t="n">
        <v>44938</v>
      </c>
      <c r="C8" s="2" t="inlineStr">
        <is>
          <t>CUST-0042</t>
        </is>
      </c>
      <c r="D8" s="2" t="inlineStr">
        <is>
          <t>Sarah Lefebvre</t>
        </is>
      </c>
      <c r="E8" s="2" t="inlineStr">
        <is>
          <t>Germany</t>
        </is>
      </c>
      <c r="F8" s="2" t="inlineStr">
        <is>
          <t>Kitchen Organizer</t>
        </is>
      </c>
      <c r="G8" s="2" t="inlineStr">
        <is>
          <t>Home &amp; Garden</t>
        </is>
      </c>
      <c r="H8" s="2" t="n">
        <v>3</v>
      </c>
      <c r="I8" s="4" t="n">
        <v>33.07</v>
      </c>
      <c r="J8" s="5" t="n">
        <v>0.1</v>
      </c>
      <c r="K8" s="4">
        <f>H8*I8*(1-J8)</f>
        <v/>
      </c>
      <c r="L8" s="2" t="inlineStr">
        <is>
          <t>Credit Card</t>
        </is>
      </c>
    </row>
    <row r="9">
      <c r="A9" s="6" t="inlineStr">
        <is>
          <t>ORD-00008</t>
        </is>
      </c>
      <c r="B9" s="7" t="n">
        <v>44939</v>
      </c>
      <c r="C9" s="6" t="inlineStr">
        <is>
          <t>CUST-0135</t>
        </is>
      </c>
      <c r="D9" s="6" t="inlineStr">
        <is>
          <t>Michael Roy</t>
        </is>
      </c>
      <c r="E9" s="6" t="inlineStr">
        <is>
          <t>France</t>
        </is>
      </c>
      <c r="F9" s="6" t="inlineStr">
        <is>
          <t>Jump Rope</t>
        </is>
      </c>
      <c r="G9" s="6" t="inlineStr">
        <is>
          <t>Sports</t>
        </is>
      </c>
      <c r="H9" s="6" t="n">
        <v>1</v>
      </c>
      <c r="I9" s="8" t="n">
        <v>16.68</v>
      </c>
      <c r="J9" s="9" t="n">
        <v>0.2</v>
      </c>
      <c r="K9" s="8">
        <f>H9*I9*(1-J9)</f>
        <v/>
      </c>
      <c r="L9" s="6" t="inlineStr">
        <is>
          <t>Bank Transfer</t>
        </is>
      </c>
    </row>
    <row r="10">
      <c r="A10" s="2" t="inlineStr">
        <is>
          <t>ORD-00009</t>
        </is>
      </c>
      <c r="B10" s="3" t="n">
        <v>44943</v>
      </c>
      <c r="C10" s="2" t="inlineStr">
        <is>
          <t>CUST-0062</t>
        </is>
      </c>
      <c r="D10" s="2" t="inlineStr">
        <is>
          <t>Mehmet Weber</t>
        </is>
      </c>
      <c r="E10" s="2" t="inlineStr">
        <is>
          <t>USA</t>
        </is>
      </c>
      <c r="F10" s="2" t="inlineStr">
        <is>
          <t>Smartphone Case</t>
        </is>
      </c>
      <c r="G10" s="2" t="inlineStr">
        <is>
          <t>Electronics</t>
        </is>
      </c>
      <c r="H10" s="2" t="n">
        <v>2</v>
      </c>
      <c r="I10" s="4" t="n">
        <v>21.87</v>
      </c>
      <c r="J10" s="5" t="n">
        <v>0.1</v>
      </c>
      <c r="K10" s="4">
        <f>H10*I10*(1-J10)</f>
        <v/>
      </c>
      <c r="L10" s="2" t="inlineStr">
        <is>
          <t>Bank Transfer</t>
        </is>
      </c>
    </row>
    <row r="11">
      <c r="A11" s="6" t="inlineStr">
        <is>
          <t>ORD-00010</t>
        </is>
      </c>
      <c r="B11" s="7" t="n">
        <v>44943</v>
      </c>
      <c r="C11" s="6" t="inlineStr">
        <is>
          <t>CUST-0067</t>
        </is>
      </c>
      <c r="D11" s="6" t="inlineStr">
        <is>
          <t>Owen Demir</t>
        </is>
      </c>
      <c r="E11" s="6" t="inlineStr">
        <is>
          <t>UK</t>
        </is>
      </c>
      <c r="F11" s="6" t="inlineStr">
        <is>
          <t>Throw Pillow</t>
        </is>
      </c>
      <c r="G11" s="6" t="inlineStr">
        <is>
          <t>Home &amp; Garden</t>
        </is>
      </c>
      <c r="H11" s="6" t="n">
        <v>2</v>
      </c>
      <c r="I11" s="8" t="n">
        <v>26.57</v>
      </c>
      <c r="J11" s="9" t="n">
        <v>0</v>
      </c>
      <c r="K11" s="8">
        <f>H11*I11*(1-J11)</f>
        <v/>
      </c>
      <c r="L11" s="6" t="inlineStr">
        <is>
          <t>Credit Card</t>
        </is>
      </c>
    </row>
    <row r="12">
      <c r="A12" s="2" t="inlineStr">
        <is>
          <t>ORD-00011</t>
        </is>
      </c>
      <c r="B12" s="3" t="n">
        <v>44948</v>
      </c>
      <c r="C12" s="2" t="inlineStr">
        <is>
          <t>CUST-0069</t>
        </is>
      </c>
      <c r="D12" s="2" t="inlineStr">
        <is>
          <t>Emma Moreau</t>
        </is>
      </c>
      <c r="E12" s="2" t="inlineStr">
        <is>
          <t>Germany</t>
        </is>
      </c>
      <c r="F12" s="2" t="inlineStr">
        <is>
          <t>Plant Pot Set</t>
        </is>
      </c>
      <c r="G12" s="2" t="inlineStr">
        <is>
          <t>Home &amp; Garden</t>
        </is>
      </c>
      <c r="H12" s="2" t="n">
        <v>2</v>
      </c>
      <c r="I12" s="4" t="n">
        <v>26.75</v>
      </c>
      <c r="J12" s="5" t="n">
        <v>0.2</v>
      </c>
      <c r="K12" s="4">
        <f>H12*I12*(1-J12)</f>
        <v/>
      </c>
      <c r="L12" s="2" t="inlineStr">
        <is>
          <t>Credit Card</t>
        </is>
      </c>
    </row>
    <row r="13">
      <c r="A13" s="6" t="inlineStr">
        <is>
          <t>ORD-00012</t>
        </is>
      </c>
      <c r="B13" s="7" t="n">
        <v>44949</v>
      </c>
      <c r="C13" s="6" t="inlineStr">
        <is>
          <t>CUST-0038</t>
        </is>
      </c>
      <c r="D13" s="6" t="inlineStr">
        <is>
          <t>Scarlett Moreau</t>
        </is>
      </c>
      <c r="E13" s="6" t="inlineStr">
        <is>
          <t>UK</t>
        </is>
      </c>
      <c r="F13" s="6" t="inlineStr">
        <is>
          <t>Plant Pot Set</t>
        </is>
      </c>
      <c r="G13" s="6" t="inlineStr">
        <is>
          <t>Home &amp; Garden</t>
        </is>
      </c>
      <c r="H13" s="6" t="n">
        <v>3</v>
      </c>
      <c r="I13" s="8" t="n">
        <v>34.35</v>
      </c>
      <c r="J13" s="9" t="n">
        <v>0.15</v>
      </c>
      <c r="K13" s="8">
        <f>H13*I13*(1-J13)</f>
        <v/>
      </c>
      <c r="L13" s="6" t="inlineStr">
        <is>
          <t>Bank Transfer</t>
        </is>
      </c>
    </row>
    <row r="14">
      <c r="A14" s="2" t="inlineStr">
        <is>
          <t>ORD-00013</t>
        </is>
      </c>
      <c r="B14" s="3" t="n">
        <v>44950</v>
      </c>
      <c r="C14" s="2" t="inlineStr">
        <is>
          <t>CUST-0077</t>
        </is>
      </c>
      <c r="D14" s="2" t="inlineStr">
        <is>
          <t>Mason Miller</t>
        </is>
      </c>
      <c r="E14" s="2" t="inlineStr">
        <is>
          <t>USA</t>
        </is>
      </c>
      <c r="F14" s="2" t="inlineStr">
        <is>
          <t>Leather Belt</t>
        </is>
      </c>
      <c r="G14" s="2" t="inlineStr">
        <is>
          <t>Clothing</t>
        </is>
      </c>
      <c r="H14" s="2" t="n">
        <v>2</v>
      </c>
      <c r="I14" s="4" t="n">
        <v>41.32</v>
      </c>
      <c r="J14" s="5" t="n">
        <v>0.15</v>
      </c>
      <c r="K14" s="4">
        <f>H14*I14*(1-J14)</f>
        <v/>
      </c>
      <c r="L14" s="2" t="inlineStr">
        <is>
          <t>Credit Card</t>
        </is>
      </c>
    </row>
    <row r="15">
      <c r="A15" s="6" t="inlineStr">
        <is>
          <t>ORD-00014</t>
        </is>
      </c>
      <c r="B15" s="7" t="n">
        <v>44950</v>
      </c>
      <c r="C15" s="6" t="inlineStr">
        <is>
          <t>CUST-0033</t>
        </is>
      </c>
      <c r="D15" s="6" t="inlineStr">
        <is>
          <t>Ahmed Harris</t>
        </is>
      </c>
      <c r="E15" s="6" t="inlineStr">
        <is>
          <t>USA</t>
        </is>
      </c>
      <c r="F15" s="6" t="inlineStr">
        <is>
          <t>Gym Bag</t>
        </is>
      </c>
      <c r="G15" s="6" t="inlineStr">
        <is>
          <t>Sports</t>
        </is>
      </c>
      <c r="H15" s="6" t="n">
        <v>3</v>
      </c>
      <c r="I15" s="8" t="n">
        <v>32.54</v>
      </c>
      <c r="J15" s="9" t="n">
        <v>0.1</v>
      </c>
      <c r="K15" s="8">
        <f>H15*I15*(1-J15)</f>
        <v/>
      </c>
      <c r="L15" s="6" t="inlineStr">
        <is>
          <t>Credit Card</t>
        </is>
      </c>
    </row>
    <row r="16">
      <c r="A16" s="2" t="inlineStr">
        <is>
          <t>ORD-00015</t>
        </is>
      </c>
      <c r="B16" s="3" t="n">
        <v>44952</v>
      </c>
      <c r="C16" s="2" t="inlineStr">
        <is>
          <t>CUST-0098</t>
        </is>
      </c>
      <c r="D16" s="2" t="inlineStr">
        <is>
          <t>Hans Demir</t>
        </is>
      </c>
      <c r="E16" s="2" t="inlineStr">
        <is>
          <t>USA</t>
        </is>
      </c>
      <c r="F16" s="2" t="inlineStr">
        <is>
          <t>Wireless Headphones</t>
        </is>
      </c>
      <c r="G16" s="2" t="inlineStr">
        <is>
          <t>Electronics</t>
        </is>
      </c>
      <c r="H16" s="2" t="n">
        <v>3</v>
      </c>
      <c r="I16" s="4" t="n">
        <v>65.98</v>
      </c>
      <c r="J16" s="5" t="n">
        <v>0</v>
      </c>
      <c r="K16" s="4">
        <f>H16*I16*(1-J16)</f>
        <v/>
      </c>
      <c r="L16" s="2" t="inlineStr">
        <is>
          <t>Credit Card</t>
        </is>
      </c>
    </row>
    <row r="17">
      <c r="A17" s="6" t="inlineStr">
        <is>
          <t>ORD-00016</t>
        </is>
      </c>
      <c r="B17" s="7" t="n">
        <v>44953</v>
      </c>
      <c r="C17" s="6" t="inlineStr">
        <is>
          <t>CUST-0034</t>
        </is>
      </c>
      <c r="D17" s="6" t="inlineStr">
        <is>
          <t>Ayse Schmidt</t>
        </is>
      </c>
      <c r="E17" s="6" t="inlineStr">
        <is>
          <t>Turkey</t>
        </is>
      </c>
      <c r="F17" s="6" t="inlineStr">
        <is>
          <t>Bluetooth Speaker</t>
        </is>
      </c>
      <c r="G17" s="6" t="inlineStr">
        <is>
          <t>Electronics</t>
        </is>
      </c>
      <c r="H17" s="6" t="n">
        <v>1</v>
      </c>
      <c r="I17" s="8" t="n">
        <v>65.31999999999999</v>
      </c>
      <c r="J17" s="9" t="n">
        <v>0</v>
      </c>
      <c r="K17" s="8">
        <f>H17*I17*(1-J17)</f>
        <v/>
      </c>
      <c r="L17" s="6" t="inlineStr">
        <is>
          <t>Credit Card</t>
        </is>
      </c>
    </row>
    <row r="18">
      <c r="A18" s="2" t="inlineStr">
        <is>
          <t>ORD-00017</t>
        </is>
      </c>
      <c r="B18" s="3" t="n">
        <v>44953</v>
      </c>
      <c r="C18" s="2" t="inlineStr">
        <is>
          <t>CUST-0048</t>
        </is>
      </c>
      <c r="D18" s="2" t="inlineStr">
        <is>
          <t>Luna Davis</t>
        </is>
      </c>
      <c r="E18" s="2" t="inlineStr">
        <is>
          <t>USA</t>
        </is>
      </c>
      <c r="F18" s="2" t="inlineStr">
        <is>
          <t>LED Desk Lamp</t>
        </is>
      </c>
      <c r="G18" s="2" t="inlineStr">
        <is>
          <t>Home &amp; Garden</t>
        </is>
      </c>
      <c r="H18" s="2" t="n">
        <v>1</v>
      </c>
      <c r="I18" s="4" t="n">
        <v>56.96</v>
      </c>
      <c r="J18" s="5" t="n">
        <v>0.1</v>
      </c>
      <c r="K18" s="4">
        <f>H18*I18*(1-J18)</f>
        <v/>
      </c>
      <c r="L18" s="2" t="inlineStr">
        <is>
          <t>PayPal</t>
        </is>
      </c>
    </row>
    <row r="19">
      <c r="A19" s="6" t="inlineStr">
        <is>
          <t>ORD-00018</t>
        </is>
      </c>
      <c r="B19" s="7" t="n">
        <v>44958</v>
      </c>
      <c r="C19" s="6" t="inlineStr">
        <is>
          <t>CUST-0024</t>
        </is>
      </c>
      <c r="D19" s="6" t="inlineStr">
        <is>
          <t>Robert Lee</t>
        </is>
      </c>
      <c r="E19" s="6" t="inlineStr">
        <is>
          <t>France</t>
        </is>
      </c>
      <c r="F19" s="6" t="inlineStr">
        <is>
          <t>Resistance Bands</t>
        </is>
      </c>
      <c r="G19" s="6" t="inlineStr">
        <is>
          <t>Sports</t>
        </is>
      </c>
      <c r="H19" s="6" t="n">
        <v>2</v>
      </c>
      <c r="I19" s="8" t="n">
        <v>17.51</v>
      </c>
      <c r="J19" s="9" t="n">
        <v>0</v>
      </c>
      <c r="K19" s="8">
        <f>H19*I19*(1-J19)</f>
        <v/>
      </c>
      <c r="L19" s="6" t="inlineStr">
        <is>
          <t>Credit Card</t>
        </is>
      </c>
    </row>
    <row r="20">
      <c r="A20" s="2" t="inlineStr">
        <is>
          <t>ORD-00019</t>
        </is>
      </c>
      <c r="B20" s="3" t="n">
        <v>44959</v>
      </c>
      <c r="C20" s="2" t="inlineStr">
        <is>
          <t>CUST-0074</t>
        </is>
      </c>
      <c r="D20" s="2" t="inlineStr">
        <is>
          <t>Robert Stewart</t>
        </is>
      </c>
      <c r="E20" s="2" t="inlineStr">
        <is>
          <t>USA</t>
        </is>
      </c>
      <c r="F20" s="2" t="inlineStr">
        <is>
          <t>Denim Jeans</t>
        </is>
      </c>
      <c r="G20" s="2" t="inlineStr">
        <is>
          <t>Clothing</t>
        </is>
      </c>
      <c r="H20" s="2" t="n">
        <v>5</v>
      </c>
      <c r="I20" s="4" t="n">
        <v>70.62</v>
      </c>
      <c r="J20" s="5" t="n">
        <v>0.1</v>
      </c>
      <c r="K20" s="4">
        <f>H20*I20*(1-J20)</f>
        <v/>
      </c>
      <c r="L20" s="2" t="inlineStr">
        <is>
          <t>Credit Card</t>
        </is>
      </c>
    </row>
    <row r="21">
      <c r="A21" s="6" t="inlineStr">
        <is>
          <t>ORD-00020</t>
        </is>
      </c>
      <c r="B21" s="7" t="n">
        <v>44960</v>
      </c>
      <c r="C21" s="6" t="inlineStr">
        <is>
          <t>CUST-0116</t>
        </is>
      </c>
      <c r="D21" s="6" t="inlineStr">
        <is>
          <t>Claire Demir</t>
        </is>
      </c>
      <c r="E21" s="6" t="inlineStr">
        <is>
          <t>USA</t>
        </is>
      </c>
      <c r="F21" s="6" t="inlineStr">
        <is>
          <t>Cotton T-Shirt</t>
        </is>
      </c>
      <c r="G21" s="6" t="inlineStr">
        <is>
          <t>Clothing</t>
        </is>
      </c>
      <c r="H21" s="6" t="n">
        <v>5</v>
      </c>
      <c r="I21" s="8" t="n">
        <v>23.77</v>
      </c>
      <c r="J21" s="9" t="n">
        <v>0.1</v>
      </c>
      <c r="K21" s="8">
        <f>H21*I21*(1-J21)</f>
        <v/>
      </c>
      <c r="L21" s="6" t="inlineStr">
        <is>
          <t>Credit Card</t>
        </is>
      </c>
    </row>
    <row r="22">
      <c r="A22" s="2" t="inlineStr">
        <is>
          <t>ORD-00021</t>
        </is>
      </c>
      <c r="B22" s="3" t="n">
        <v>44963</v>
      </c>
      <c r="C22" s="2" t="inlineStr">
        <is>
          <t>CUST-0142</t>
        </is>
      </c>
      <c r="D22" s="2" t="inlineStr">
        <is>
          <t>Liam Fraser</t>
        </is>
      </c>
      <c r="E22" s="2" t="inlineStr">
        <is>
          <t>USA</t>
        </is>
      </c>
      <c r="F22" s="2" t="inlineStr">
        <is>
          <t>Gym Bag</t>
        </is>
      </c>
      <c r="G22" s="2" t="inlineStr">
        <is>
          <t>Sports</t>
        </is>
      </c>
      <c r="H22" s="2" t="n">
        <v>2</v>
      </c>
      <c r="I22" s="4" t="n">
        <v>47.21</v>
      </c>
      <c r="J22" s="5" t="n">
        <v>0</v>
      </c>
      <c r="K22" s="4">
        <f>H22*I22*(1-J22)</f>
        <v/>
      </c>
      <c r="L22" s="2" t="inlineStr">
        <is>
          <t>Credit Card</t>
        </is>
      </c>
    </row>
    <row r="23">
      <c r="A23" s="6" t="inlineStr">
        <is>
          <t>ORD-00022</t>
        </is>
      </c>
      <c r="B23" s="7" t="n">
        <v>44964</v>
      </c>
      <c r="C23" s="6" t="inlineStr">
        <is>
          <t>CUST-0117</t>
        </is>
      </c>
      <c r="D23" s="6" t="inlineStr">
        <is>
          <t>Sophie White</t>
        </is>
      </c>
      <c r="E23" s="6" t="inlineStr">
        <is>
          <t>Canada</t>
        </is>
      </c>
      <c r="F23" s="6" t="inlineStr">
        <is>
          <t>Laptop Stand</t>
        </is>
      </c>
      <c r="G23" s="6" t="inlineStr">
        <is>
          <t>Electronics</t>
        </is>
      </c>
      <c r="H23" s="6" t="n">
        <v>5</v>
      </c>
      <c r="I23" s="8" t="n">
        <v>29.69</v>
      </c>
      <c r="J23" s="9" t="n">
        <v>0.05</v>
      </c>
      <c r="K23" s="8">
        <f>H23*I23*(1-J23)</f>
        <v/>
      </c>
      <c r="L23" s="6" t="inlineStr">
        <is>
          <t>Credit Card</t>
        </is>
      </c>
    </row>
    <row r="24">
      <c r="A24" s="2" t="inlineStr">
        <is>
          <t>ORD-00023</t>
        </is>
      </c>
      <c r="B24" s="3" t="n">
        <v>44965</v>
      </c>
      <c r="C24" s="2" t="inlineStr">
        <is>
          <t>CUST-0099</t>
        </is>
      </c>
      <c r="D24" s="2" t="inlineStr">
        <is>
          <t>Hans Garcia</t>
        </is>
      </c>
      <c r="E24" s="2" t="inlineStr">
        <is>
          <t>Turkey</t>
        </is>
      </c>
      <c r="F24" s="2" t="inlineStr">
        <is>
          <t>Self-Help Guide</t>
        </is>
      </c>
      <c r="G24" s="2" t="inlineStr">
        <is>
          <t>Books</t>
        </is>
      </c>
      <c r="H24" s="2" t="n">
        <v>2</v>
      </c>
      <c r="I24" s="4" t="n">
        <v>20.36</v>
      </c>
      <c r="J24" s="5" t="n">
        <v>0.1</v>
      </c>
      <c r="K24" s="4">
        <f>H24*I24*(1-J24)</f>
        <v/>
      </c>
      <c r="L24" s="2" t="inlineStr">
        <is>
          <t>PayPal</t>
        </is>
      </c>
    </row>
    <row r="25">
      <c r="A25" s="6" t="inlineStr">
        <is>
          <t>ORD-00024</t>
        </is>
      </c>
      <c r="B25" s="7" t="n">
        <v>44967</v>
      </c>
      <c r="C25" s="6" t="inlineStr">
        <is>
          <t>CUST-0083</t>
        </is>
      </c>
      <c r="D25" s="6" t="inlineStr">
        <is>
          <t>Pierre Wilson</t>
        </is>
      </c>
      <c r="E25" s="6" t="inlineStr">
        <is>
          <t>USA</t>
        </is>
      </c>
      <c r="F25" s="6" t="inlineStr">
        <is>
          <t>Cotton T-Shirt</t>
        </is>
      </c>
      <c r="G25" s="6" t="inlineStr">
        <is>
          <t>Clothing</t>
        </is>
      </c>
      <c r="H25" s="6" t="n">
        <v>2</v>
      </c>
      <c r="I25" s="8" t="n">
        <v>22.71</v>
      </c>
      <c r="J25" s="9" t="n">
        <v>0</v>
      </c>
      <c r="K25" s="8">
        <f>H25*I25*(1-J25)</f>
        <v/>
      </c>
      <c r="L25" s="6" t="inlineStr">
        <is>
          <t>Bank Transfer</t>
        </is>
      </c>
    </row>
    <row r="26">
      <c r="A26" s="2" t="inlineStr">
        <is>
          <t>ORD-00025</t>
        </is>
      </c>
      <c r="B26" s="3" t="n">
        <v>44969</v>
      </c>
      <c r="C26" s="2" t="inlineStr">
        <is>
          <t>CUST-0089</t>
        </is>
      </c>
      <c r="D26" s="2" t="inlineStr">
        <is>
          <t>Ayse Fraser</t>
        </is>
      </c>
      <c r="E26" s="2" t="inlineStr">
        <is>
          <t>USA</t>
        </is>
      </c>
      <c r="F26" s="2" t="inlineStr">
        <is>
          <t>Wall Clock</t>
        </is>
      </c>
      <c r="G26" s="2" t="inlineStr">
        <is>
          <t>Home &amp; Garden</t>
        </is>
      </c>
      <c r="H26" s="2" t="n">
        <v>2</v>
      </c>
      <c r="I26" s="4" t="n">
        <v>31.11</v>
      </c>
      <c r="J26" s="5" t="n">
        <v>0</v>
      </c>
      <c r="K26" s="4">
        <f>H26*I26*(1-J26)</f>
        <v/>
      </c>
      <c r="L26" s="2" t="inlineStr">
        <is>
          <t>PayPal</t>
        </is>
      </c>
    </row>
    <row r="27">
      <c r="A27" s="6" t="inlineStr">
        <is>
          <t>ORD-00026</t>
        </is>
      </c>
      <c r="B27" s="7" t="n">
        <v>44969</v>
      </c>
      <c r="C27" s="6" t="inlineStr">
        <is>
          <t>CUST-0116</t>
        </is>
      </c>
      <c r="D27" s="6" t="inlineStr">
        <is>
          <t>Claire Demir</t>
        </is>
      </c>
      <c r="E27" s="6" t="inlineStr">
        <is>
          <t>USA</t>
        </is>
      </c>
      <c r="F27" s="6" t="inlineStr">
        <is>
          <t>Cooking Masterclass</t>
        </is>
      </c>
      <c r="G27" s="6" t="inlineStr">
        <is>
          <t>Books</t>
        </is>
      </c>
      <c r="H27" s="6" t="n">
        <v>1</v>
      </c>
      <c r="I27" s="8" t="n">
        <v>38.03</v>
      </c>
      <c r="J27" s="9" t="n">
        <v>0.05</v>
      </c>
      <c r="K27" s="8">
        <f>H27*I27*(1-J27)</f>
        <v/>
      </c>
      <c r="L27" s="6" t="inlineStr">
        <is>
          <t>Credit Card</t>
        </is>
      </c>
    </row>
    <row r="28">
      <c r="A28" s="2" t="inlineStr">
        <is>
          <t>ORD-00027</t>
        </is>
      </c>
      <c r="B28" s="3" t="n">
        <v>44969</v>
      </c>
      <c r="C28" s="2" t="inlineStr">
        <is>
          <t>CUST-0113</t>
        </is>
      </c>
      <c r="D28" s="2" t="inlineStr">
        <is>
          <t>Noah Jackson</t>
        </is>
      </c>
      <c r="E28" s="2" t="inlineStr">
        <is>
          <t>UK</t>
        </is>
      </c>
      <c r="F28" s="2" t="inlineStr">
        <is>
          <t>LED Desk Lamp</t>
        </is>
      </c>
      <c r="G28" s="2" t="inlineStr">
        <is>
          <t>Home &amp; Garden</t>
        </is>
      </c>
      <c r="H28" s="2" t="n">
        <v>3</v>
      </c>
      <c r="I28" s="4" t="n">
        <v>28.57</v>
      </c>
      <c r="J28" s="5" t="n">
        <v>0.1</v>
      </c>
      <c r="K28" s="4">
        <f>H28*I28*(1-J28)</f>
        <v/>
      </c>
      <c r="L28" s="2" t="inlineStr">
        <is>
          <t>Credit Card</t>
        </is>
      </c>
    </row>
    <row r="29">
      <c r="A29" s="6" t="inlineStr">
        <is>
          <t>ORD-00028</t>
        </is>
      </c>
      <c r="B29" s="7" t="n">
        <v>44970</v>
      </c>
      <c r="C29" s="6" t="inlineStr">
        <is>
          <t>CUST-0053</t>
        </is>
      </c>
      <c r="D29" s="6" t="inlineStr">
        <is>
          <t>Jean Ozturk</t>
        </is>
      </c>
      <c r="E29" s="6" t="inlineStr">
        <is>
          <t>Germany</t>
        </is>
      </c>
      <c r="F29" s="6" t="inlineStr">
        <is>
          <t>Kitchen Organizer</t>
        </is>
      </c>
      <c r="G29" s="6" t="inlineStr">
        <is>
          <t>Home &amp; Garden</t>
        </is>
      </c>
      <c r="H29" s="6" t="n">
        <v>4</v>
      </c>
      <c r="I29" s="8" t="n">
        <v>29.69</v>
      </c>
      <c r="J29" s="9" t="n">
        <v>0.15</v>
      </c>
      <c r="K29" s="8">
        <f>H29*I29*(1-J29)</f>
        <v/>
      </c>
      <c r="L29" s="6" t="inlineStr">
        <is>
          <t>Credit Card</t>
        </is>
      </c>
    </row>
    <row r="30">
      <c r="A30" s="2" t="inlineStr">
        <is>
          <t>ORD-00029</t>
        </is>
      </c>
      <c r="B30" s="3" t="n">
        <v>44971</v>
      </c>
      <c r="C30" s="2" t="inlineStr">
        <is>
          <t>CUST-0052</t>
        </is>
      </c>
      <c r="D30" s="2" t="inlineStr">
        <is>
          <t>Oliver Chen</t>
        </is>
      </c>
      <c r="E30" s="2" t="inlineStr">
        <is>
          <t>USA</t>
        </is>
      </c>
      <c r="F30" s="2" t="inlineStr">
        <is>
          <t>Business Strategy</t>
        </is>
      </c>
      <c r="G30" s="2" t="inlineStr">
        <is>
          <t>Books</t>
        </is>
      </c>
      <c r="H30" s="2" t="n">
        <v>2</v>
      </c>
      <c r="I30" s="4" t="n">
        <v>38.66</v>
      </c>
      <c r="J30" s="5" t="n">
        <v>0.25</v>
      </c>
      <c r="K30" s="4">
        <f>H30*I30*(1-J30)</f>
        <v/>
      </c>
      <c r="L30" s="2" t="inlineStr">
        <is>
          <t>Credit Card</t>
        </is>
      </c>
    </row>
    <row r="31">
      <c r="A31" s="6" t="inlineStr">
        <is>
          <t>ORD-00030</t>
        </is>
      </c>
      <c r="B31" s="7" t="n">
        <v>44973</v>
      </c>
      <c r="C31" s="6" t="inlineStr">
        <is>
          <t>CUST-0148</t>
        </is>
      </c>
      <c r="D31" s="6" t="inlineStr">
        <is>
          <t>Pierre Clark</t>
        </is>
      </c>
      <c r="E31" s="6" t="inlineStr">
        <is>
          <t>Canada</t>
        </is>
      </c>
      <c r="F31" s="6" t="inlineStr">
        <is>
          <t>Denim Jeans</t>
        </is>
      </c>
      <c r="G31" s="6" t="inlineStr">
        <is>
          <t>Clothing</t>
        </is>
      </c>
      <c r="H31" s="6" t="n">
        <v>2</v>
      </c>
      <c r="I31" s="8" t="n">
        <v>70.67</v>
      </c>
      <c r="J31" s="9" t="n">
        <v>0.1</v>
      </c>
      <c r="K31" s="8">
        <f>H31*I31*(1-J31)</f>
        <v/>
      </c>
      <c r="L31" s="6" t="inlineStr">
        <is>
          <t>Credit Card</t>
        </is>
      </c>
    </row>
    <row r="32">
      <c r="A32" s="2" t="inlineStr">
        <is>
          <t>ORD-00031</t>
        </is>
      </c>
      <c r="B32" s="3" t="n">
        <v>44977</v>
      </c>
      <c r="C32" s="2" t="inlineStr">
        <is>
          <t>CUST-0077</t>
        </is>
      </c>
      <c r="D32" s="2" t="inlineStr">
        <is>
          <t>Mason Miller</t>
        </is>
      </c>
      <c r="E32" s="2" t="inlineStr">
        <is>
          <t>USA</t>
        </is>
      </c>
      <c r="F32" s="2" t="inlineStr">
        <is>
          <t>Denim Jeans</t>
        </is>
      </c>
      <c r="G32" s="2" t="inlineStr">
        <is>
          <t>Clothing</t>
        </is>
      </c>
      <c r="H32" s="2" t="n">
        <v>2</v>
      </c>
      <c r="I32" s="4" t="n">
        <v>41.23</v>
      </c>
      <c r="J32" s="5" t="n">
        <v>0.05</v>
      </c>
      <c r="K32" s="4">
        <f>H32*I32*(1-J32)</f>
        <v/>
      </c>
      <c r="L32" s="2" t="inlineStr">
        <is>
          <t>PayPal</t>
        </is>
      </c>
    </row>
    <row r="33">
      <c r="A33" s="6" t="inlineStr">
        <is>
          <t>ORD-00032</t>
        </is>
      </c>
      <c r="B33" s="7" t="n">
        <v>44978</v>
      </c>
      <c r="C33" s="6" t="inlineStr">
        <is>
          <t>CUST-0093</t>
        </is>
      </c>
      <c r="D33" s="6" t="inlineStr">
        <is>
          <t>David Weber</t>
        </is>
      </c>
      <c r="E33" s="6" t="inlineStr">
        <is>
          <t>France</t>
        </is>
      </c>
      <c r="F33" s="6" t="inlineStr">
        <is>
          <t>Water Bottle</t>
        </is>
      </c>
      <c r="G33" s="6" t="inlineStr">
        <is>
          <t>Sports</t>
        </is>
      </c>
      <c r="H33" s="6" t="n">
        <v>2</v>
      </c>
      <c r="I33" s="8" t="n">
        <v>19.25</v>
      </c>
      <c r="J33" s="9" t="n">
        <v>0</v>
      </c>
      <c r="K33" s="8">
        <f>H33*I33*(1-J33)</f>
        <v/>
      </c>
      <c r="L33" s="6" t="inlineStr">
        <is>
          <t>Bank Transfer</t>
        </is>
      </c>
    </row>
    <row r="34">
      <c r="A34" s="2" t="inlineStr">
        <is>
          <t>ORD-00033</t>
        </is>
      </c>
      <c r="B34" s="3" t="n">
        <v>44979</v>
      </c>
      <c r="C34" s="2" t="inlineStr">
        <is>
          <t>CUST-0053</t>
        </is>
      </c>
      <c r="D34" s="2" t="inlineStr">
        <is>
          <t>Jean Ozturk</t>
        </is>
      </c>
      <c r="E34" s="2" t="inlineStr">
        <is>
          <t>Germany</t>
        </is>
      </c>
      <c r="F34" s="2" t="inlineStr">
        <is>
          <t>Denim Jeans</t>
        </is>
      </c>
      <c r="G34" s="2" t="inlineStr">
        <is>
          <t>Clothing</t>
        </is>
      </c>
      <c r="H34" s="2" t="n">
        <v>2</v>
      </c>
      <c r="I34" s="4" t="n">
        <v>77.09999999999999</v>
      </c>
      <c r="J34" s="5" t="n">
        <v>0.1</v>
      </c>
      <c r="K34" s="4">
        <f>H34*I34*(1-J34)</f>
        <v/>
      </c>
      <c r="L34" s="2" t="inlineStr">
        <is>
          <t>Credit Card</t>
        </is>
      </c>
    </row>
    <row r="35">
      <c r="A35" s="6" t="inlineStr">
        <is>
          <t>ORD-00034</t>
        </is>
      </c>
      <c r="B35" s="7" t="n">
        <v>44979</v>
      </c>
      <c r="C35" s="6" t="inlineStr">
        <is>
          <t>CUST-0150</t>
        </is>
      </c>
      <c r="D35" s="6" t="inlineStr">
        <is>
          <t>Alexander Williams</t>
        </is>
      </c>
      <c r="E35" s="6" t="inlineStr">
        <is>
          <t>USA</t>
        </is>
      </c>
      <c r="F35" s="6" t="inlineStr">
        <is>
          <t>Throw Pillow</t>
        </is>
      </c>
      <c r="G35" s="6" t="inlineStr">
        <is>
          <t>Home &amp; Garden</t>
        </is>
      </c>
      <c r="H35" s="6" t="n">
        <v>2</v>
      </c>
      <c r="I35" s="8" t="n">
        <v>27.57</v>
      </c>
      <c r="J35" s="9" t="n">
        <v>0.15</v>
      </c>
      <c r="K35" s="8">
        <f>H35*I35*(1-J35)</f>
        <v/>
      </c>
      <c r="L35" s="6" t="inlineStr">
        <is>
          <t>Credit Card</t>
        </is>
      </c>
    </row>
    <row r="36">
      <c r="A36" s="2" t="inlineStr">
        <is>
          <t>ORD-00035</t>
        </is>
      </c>
      <c r="B36" s="3" t="n">
        <v>44982</v>
      </c>
      <c r="C36" s="2" t="inlineStr">
        <is>
          <t>CUST-0039</t>
        </is>
      </c>
      <c r="D36" s="2" t="inlineStr">
        <is>
          <t>Ethan Rodriguez</t>
        </is>
      </c>
      <c r="E36" s="2" t="inlineStr">
        <is>
          <t>Germany</t>
        </is>
      </c>
      <c r="F36" s="2" t="inlineStr">
        <is>
          <t>Bluetooth Speaker</t>
        </is>
      </c>
      <c r="G36" s="2" t="inlineStr">
        <is>
          <t>Electronics</t>
        </is>
      </c>
      <c r="H36" s="2" t="n">
        <v>5</v>
      </c>
      <c r="I36" s="4" t="n">
        <v>50.55</v>
      </c>
      <c r="J36" s="5" t="n">
        <v>0.15</v>
      </c>
      <c r="K36" s="4">
        <f>H36*I36*(1-J36)</f>
        <v/>
      </c>
      <c r="L36" s="2" t="inlineStr">
        <is>
          <t>Bank Transfer</t>
        </is>
      </c>
    </row>
    <row r="37">
      <c r="A37" s="6" t="inlineStr">
        <is>
          <t>ORD-00036</t>
        </is>
      </c>
      <c r="B37" s="7" t="n">
        <v>44988</v>
      </c>
      <c r="C37" s="6" t="inlineStr">
        <is>
          <t>CUST-0043</t>
        </is>
      </c>
      <c r="D37" s="6" t="inlineStr">
        <is>
          <t>Daniel Mueller</t>
        </is>
      </c>
      <c r="E37" s="6" t="inlineStr">
        <is>
          <t>Germany</t>
        </is>
      </c>
      <c r="F37" s="6" t="inlineStr">
        <is>
          <t>Jump Rope</t>
        </is>
      </c>
      <c r="G37" s="6" t="inlineStr">
        <is>
          <t>Sports</t>
        </is>
      </c>
      <c r="H37" s="6" t="n">
        <v>2</v>
      </c>
      <c r="I37" s="8" t="n">
        <v>16.98</v>
      </c>
      <c r="J37" s="9" t="n">
        <v>0</v>
      </c>
      <c r="K37" s="8">
        <f>H37*I37*(1-J37)</f>
        <v/>
      </c>
      <c r="L37" s="6" t="inlineStr">
        <is>
          <t>Credit Card</t>
        </is>
      </c>
    </row>
    <row r="38">
      <c r="A38" s="2" t="inlineStr">
        <is>
          <t>ORD-00037</t>
        </is>
      </c>
      <c r="B38" s="3" t="n">
        <v>44988</v>
      </c>
      <c r="C38" s="2" t="inlineStr">
        <is>
          <t>CUST-0102</t>
        </is>
      </c>
      <c r="D38" s="2" t="inlineStr">
        <is>
          <t>Ahmed Jackson</t>
        </is>
      </c>
      <c r="E38" s="2" t="inlineStr">
        <is>
          <t>Germany</t>
        </is>
      </c>
      <c r="F38" s="2" t="inlineStr">
        <is>
          <t>Wall Clock</t>
        </is>
      </c>
      <c r="G38" s="2" t="inlineStr">
        <is>
          <t>Home &amp; Garden</t>
        </is>
      </c>
      <c r="H38" s="2" t="n">
        <v>3</v>
      </c>
      <c r="I38" s="4" t="n">
        <v>41.37</v>
      </c>
      <c r="J38" s="5" t="n">
        <v>0.05</v>
      </c>
      <c r="K38" s="4">
        <f>H38*I38*(1-J38)</f>
        <v/>
      </c>
      <c r="L38" s="2" t="inlineStr">
        <is>
          <t>Credit Card</t>
        </is>
      </c>
    </row>
    <row r="39">
      <c r="A39" s="6" t="inlineStr">
        <is>
          <t>ORD-00038</t>
        </is>
      </c>
      <c r="B39" s="7" t="n">
        <v>44989</v>
      </c>
      <c r="C39" s="6" t="inlineStr">
        <is>
          <t>CUST-0023</t>
        </is>
      </c>
      <c r="D39" s="6" t="inlineStr">
        <is>
          <t>Lucas Kaya</t>
        </is>
      </c>
      <c r="E39" s="6" t="inlineStr">
        <is>
          <t>UK</t>
        </is>
      </c>
      <c r="F39" s="6" t="inlineStr">
        <is>
          <t>Denim Jeans</t>
        </is>
      </c>
      <c r="G39" s="6" t="inlineStr">
        <is>
          <t>Clothing</t>
        </is>
      </c>
      <c r="H39" s="6" t="n">
        <v>2</v>
      </c>
      <c r="I39" s="8" t="n">
        <v>56.76</v>
      </c>
      <c r="J39" s="9" t="n">
        <v>0.15</v>
      </c>
      <c r="K39" s="8">
        <f>H39*I39*(1-J39)</f>
        <v/>
      </c>
      <c r="L39" s="6" t="inlineStr">
        <is>
          <t>Credit Card</t>
        </is>
      </c>
    </row>
    <row r="40">
      <c r="A40" s="2" t="inlineStr">
        <is>
          <t>ORD-00039</t>
        </is>
      </c>
      <c r="B40" s="3" t="n">
        <v>44990</v>
      </c>
      <c r="C40" s="2" t="inlineStr">
        <is>
          <t>CUST-0116</t>
        </is>
      </c>
      <c r="D40" s="2" t="inlineStr">
        <is>
          <t>Claire Demir</t>
        </is>
      </c>
      <c r="E40" s="2" t="inlineStr">
        <is>
          <t>USA</t>
        </is>
      </c>
      <c r="F40" s="2" t="inlineStr">
        <is>
          <t>Wireless Mouse</t>
        </is>
      </c>
      <c r="G40" s="2" t="inlineStr">
        <is>
          <t>Electronics</t>
        </is>
      </c>
      <c r="H40" s="2" t="n">
        <v>1</v>
      </c>
      <c r="I40" s="4" t="n">
        <v>39.55</v>
      </c>
      <c r="J40" s="5" t="n">
        <v>0.1</v>
      </c>
      <c r="K40" s="4">
        <f>H40*I40*(1-J40)</f>
        <v/>
      </c>
      <c r="L40" s="2" t="inlineStr">
        <is>
          <t>Credit Card</t>
        </is>
      </c>
    </row>
    <row r="41">
      <c r="A41" s="6" t="inlineStr">
        <is>
          <t>ORD-00040</t>
        </is>
      </c>
      <c r="B41" s="7" t="n">
        <v>44991</v>
      </c>
      <c r="C41" s="6" t="inlineStr">
        <is>
          <t>CUST-0119</t>
        </is>
      </c>
      <c r="D41" s="6" t="inlineStr">
        <is>
          <t>Oliver Weber</t>
        </is>
      </c>
      <c r="E41" s="6" t="inlineStr">
        <is>
          <t>USA</t>
        </is>
      </c>
      <c r="F41" s="6" t="inlineStr">
        <is>
          <t>Business Strategy</t>
        </is>
      </c>
      <c r="G41" s="6" t="inlineStr">
        <is>
          <t>Books</t>
        </is>
      </c>
      <c r="H41" s="6" t="n">
        <v>1</v>
      </c>
      <c r="I41" s="8" t="n">
        <v>32.97</v>
      </c>
      <c r="J41" s="9" t="n">
        <v>0</v>
      </c>
      <c r="K41" s="8">
        <f>H41*I41*(1-J41)</f>
        <v/>
      </c>
      <c r="L41" s="6" t="inlineStr">
        <is>
          <t>Credit Card</t>
        </is>
      </c>
    </row>
    <row r="42">
      <c r="A42" s="2" t="inlineStr">
        <is>
          <t>ORD-00041</t>
        </is>
      </c>
      <c r="B42" s="3" t="n">
        <v>44991</v>
      </c>
      <c r="C42" s="2" t="inlineStr">
        <is>
          <t>CUST-0043</t>
        </is>
      </c>
      <c r="D42" s="2" t="inlineStr">
        <is>
          <t>Daniel Mueller</t>
        </is>
      </c>
      <c r="E42" s="2" t="inlineStr">
        <is>
          <t>Germany</t>
        </is>
      </c>
      <c r="F42" s="2" t="inlineStr">
        <is>
          <t>Winter Jacket</t>
        </is>
      </c>
      <c r="G42" s="2" t="inlineStr">
        <is>
          <t>Clothing</t>
        </is>
      </c>
      <c r="H42" s="2" t="n">
        <v>3</v>
      </c>
      <c r="I42" s="4" t="n">
        <v>93.97</v>
      </c>
      <c r="J42" s="5" t="n">
        <v>0</v>
      </c>
      <c r="K42" s="4">
        <f>H42*I42*(1-J42)</f>
        <v/>
      </c>
      <c r="L42" s="2" t="inlineStr">
        <is>
          <t>Bank Transfer</t>
        </is>
      </c>
    </row>
    <row r="43">
      <c r="A43" s="6" t="inlineStr">
        <is>
          <t>ORD-00042</t>
        </is>
      </c>
      <c r="B43" s="7" t="n">
        <v>44991</v>
      </c>
      <c r="C43" s="6" t="inlineStr">
        <is>
          <t>CUST-0148</t>
        </is>
      </c>
      <c r="D43" s="6" t="inlineStr">
        <is>
          <t>Pierre Clark</t>
        </is>
      </c>
      <c r="E43" s="6" t="inlineStr">
        <is>
          <t>Canada</t>
        </is>
      </c>
      <c r="F43" s="6" t="inlineStr">
        <is>
          <t>USB-C Hub</t>
        </is>
      </c>
      <c r="G43" s="6" t="inlineStr">
        <is>
          <t>Electronics</t>
        </is>
      </c>
      <c r="H43" s="6" t="n">
        <v>1</v>
      </c>
      <c r="I43" s="8" t="n">
        <v>37.79</v>
      </c>
      <c r="J43" s="9" t="n">
        <v>0</v>
      </c>
      <c r="K43" s="8">
        <f>H43*I43*(1-J43)</f>
        <v/>
      </c>
      <c r="L43" s="6" t="inlineStr">
        <is>
          <t>PayPal</t>
        </is>
      </c>
    </row>
    <row r="44">
      <c r="A44" s="2" t="inlineStr">
        <is>
          <t>ORD-00043</t>
        </is>
      </c>
      <c r="B44" s="3" t="n">
        <v>44991</v>
      </c>
      <c r="C44" s="2" t="inlineStr">
        <is>
          <t>CUST-0137</t>
        </is>
      </c>
      <c r="D44" s="2" t="inlineStr">
        <is>
          <t>Mia Dupont</t>
        </is>
      </c>
      <c r="E44" s="2" t="inlineStr">
        <is>
          <t>USA</t>
        </is>
      </c>
      <c r="F44" s="2" t="inlineStr">
        <is>
          <t>Winter Jacket</t>
        </is>
      </c>
      <c r="G44" s="2" t="inlineStr">
        <is>
          <t>Clothing</t>
        </is>
      </c>
      <c r="H44" s="2" t="n">
        <v>2</v>
      </c>
      <c r="I44" s="4" t="n">
        <v>135.98</v>
      </c>
      <c r="J44" s="5" t="n">
        <v>0</v>
      </c>
      <c r="K44" s="4">
        <f>H44*I44*(1-J44)</f>
        <v/>
      </c>
      <c r="L44" s="2" t="inlineStr">
        <is>
          <t>Credit Card</t>
        </is>
      </c>
    </row>
    <row r="45">
      <c r="A45" s="6" t="inlineStr">
        <is>
          <t>ORD-00044</t>
        </is>
      </c>
      <c r="B45" s="7" t="n">
        <v>44992</v>
      </c>
      <c r="C45" s="6" t="inlineStr">
        <is>
          <t>CUST-0068</t>
        </is>
      </c>
      <c r="D45" s="6" t="inlineStr">
        <is>
          <t>Amelia Moore</t>
        </is>
      </c>
      <c r="E45" s="6" t="inlineStr">
        <is>
          <t>USA</t>
        </is>
      </c>
      <c r="F45" s="6" t="inlineStr">
        <is>
          <t>Jump Rope</t>
        </is>
      </c>
      <c r="G45" s="6" t="inlineStr">
        <is>
          <t>Sports</t>
        </is>
      </c>
      <c r="H45" s="6" t="n">
        <v>2</v>
      </c>
      <c r="I45" s="8" t="n">
        <v>15.52</v>
      </c>
      <c r="J45" s="9" t="n">
        <v>0.05</v>
      </c>
      <c r="K45" s="8">
        <f>H45*I45*(1-J45)</f>
        <v/>
      </c>
      <c r="L45" s="6" t="inlineStr">
        <is>
          <t>Credit Card</t>
        </is>
      </c>
    </row>
    <row r="46">
      <c r="A46" s="2" t="inlineStr">
        <is>
          <t>ORD-00045</t>
        </is>
      </c>
      <c r="B46" s="3" t="n">
        <v>44993</v>
      </c>
      <c r="C46" s="2" t="inlineStr">
        <is>
          <t>CUST-0012</t>
        </is>
      </c>
      <c r="D46" s="2" t="inlineStr">
        <is>
          <t>Thomas Clark</t>
        </is>
      </c>
      <c r="E46" s="2" t="inlineStr">
        <is>
          <t>USA</t>
        </is>
      </c>
      <c r="F46" s="2" t="inlineStr">
        <is>
          <t>Running Shoes</t>
        </is>
      </c>
      <c r="G46" s="2" t="inlineStr">
        <is>
          <t>Clothing</t>
        </is>
      </c>
      <c r="H46" s="2" t="n">
        <v>2</v>
      </c>
      <c r="I46" s="4" t="n">
        <v>91.90000000000001</v>
      </c>
      <c r="J46" s="5" t="n">
        <v>0.05</v>
      </c>
      <c r="K46" s="4">
        <f>H46*I46*(1-J46)</f>
        <v/>
      </c>
      <c r="L46" s="2" t="inlineStr">
        <is>
          <t>Credit Card</t>
        </is>
      </c>
    </row>
    <row r="47">
      <c r="A47" s="6" t="inlineStr">
        <is>
          <t>ORD-00046</t>
        </is>
      </c>
      <c r="B47" s="7" t="n">
        <v>44999</v>
      </c>
      <c r="C47" s="6" t="inlineStr">
        <is>
          <t>CUST-0059</t>
        </is>
      </c>
      <c r="D47" s="6" t="inlineStr">
        <is>
          <t>Ahmed Garcia</t>
        </is>
      </c>
      <c r="E47" s="6" t="inlineStr">
        <is>
          <t>USA</t>
        </is>
      </c>
      <c r="F47" s="6" t="inlineStr">
        <is>
          <t>Leather Belt</t>
        </is>
      </c>
      <c r="G47" s="6" t="inlineStr">
        <is>
          <t>Clothing</t>
        </is>
      </c>
      <c r="H47" s="6" t="n">
        <v>1</v>
      </c>
      <c r="I47" s="8" t="n">
        <v>49.17</v>
      </c>
      <c r="J47" s="9" t="n">
        <v>0</v>
      </c>
      <c r="K47" s="8">
        <f>H47*I47*(1-J47)</f>
        <v/>
      </c>
      <c r="L47" s="6" t="inlineStr">
        <is>
          <t>Credit Card</t>
        </is>
      </c>
    </row>
    <row r="48">
      <c r="A48" s="2" t="inlineStr">
        <is>
          <t>ORD-00047</t>
        </is>
      </c>
      <c r="B48" s="3" t="n">
        <v>45001</v>
      </c>
      <c r="C48" s="2" t="inlineStr">
        <is>
          <t>CUST-0016</t>
        </is>
      </c>
      <c r="D48" s="2" t="inlineStr">
        <is>
          <t>Daniel Garcia</t>
        </is>
      </c>
      <c r="E48" s="2" t="inlineStr">
        <is>
          <t>Germany</t>
        </is>
      </c>
      <c r="F48" s="2" t="inlineStr">
        <is>
          <t>Power Bank</t>
        </is>
      </c>
      <c r="G48" s="2" t="inlineStr">
        <is>
          <t>Electronics</t>
        </is>
      </c>
      <c r="H48" s="2" t="n">
        <v>1</v>
      </c>
      <c r="I48" s="4" t="n">
        <v>39.36</v>
      </c>
      <c r="J48" s="5" t="n">
        <v>0.1</v>
      </c>
      <c r="K48" s="4">
        <f>H48*I48*(1-J48)</f>
        <v/>
      </c>
      <c r="L48" s="2" t="inlineStr">
        <is>
          <t>Credit Card</t>
        </is>
      </c>
    </row>
    <row r="49">
      <c r="A49" s="6" t="inlineStr">
        <is>
          <t>ORD-00048</t>
        </is>
      </c>
      <c r="B49" s="7" t="n">
        <v>45001</v>
      </c>
      <c r="C49" s="6" t="inlineStr">
        <is>
          <t>CUST-0049</t>
        </is>
      </c>
      <c r="D49" s="6" t="inlineStr">
        <is>
          <t>Lucas Campbell</t>
        </is>
      </c>
      <c r="E49" s="6" t="inlineStr">
        <is>
          <t>USA</t>
        </is>
      </c>
      <c r="F49" s="6" t="inlineStr">
        <is>
          <t>Jump Rope</t>
        </is>
      </c>
      <c r="G49" s="6" t="inlineStr">
        <is>
          <t>Sports</t>
        </is>
      </c>
      <c r="H49" s="6" t="n">
        <v>2</v>
      </c>
      <c r="I49" s="8" t="n">
        <v>16.68</v>
      </c>
      <c r="J49" s="9" t="n">
        <v>0.05</v>
      </c>
      <c r="K49" s="8">
        <f>H49*I49*(1-J49)</f>
        <v/>
      </c>
      <c r="L49" s="6" t="inlineStr">
        <is>
          <t>Bank Transfer</t>
        </is>
      </c>
    </row>
    <row r="50">
      <c r="A50" s="2" t="inlineStr">
        <is>
          <t>ORD-00049</t>
        </is>
      </c>
      <c r="B50" s="3" t="n">
        <v>45002</v>
      </c>
      <c r="C50" s="2" t="inlineStr">
        <is>
          <t>CUST-0115</t>
        </is>
      </c>
      <c r="D50" s="2" t="inlineStr">
        <is>
          <t>Emily White</t>
        </is>
      </c>
      <c r="E50" s="2" t="inlineStr">
        <is>
          <t>Germany</t>
        </is>
      </c>
      <c r="F50" s="2" t="inlineStr">
        <is>
          <t>Self-Help Guide</t>
        </is>
      </c>
      <c r="G50" s="2" t="inlineStr">
        <is>
          <t>Books</t>
        </is>
      </c>
      <c r="H50" s="2" t="n">
        <v>2</v>
      </c>
      <c r="I50" s="4" t="n">
        <v>19.98</v>
      </c>
      <c r="J50" s="5" t="n">
        <v>0.2</v>
      </c>
      <c r="K50" s="4">
        <f>H50*I50*(1-J50)</f>
        <v/>
      </c>
      <c r="L50" s="2" t="inlineStr">
        <is>
          <t>Bank Transfer</t>
        </is>
      </c>
    </row>
    <row r="51">
      <c r="A51" s="6" t="inlineStr">
        <is>
          <t>ORD-00050</t>
        </is>
      </c>
      <c r="B51" s="7" t="n">
        <v>45003</v>
      </c>
      <c r="C51" s="6" t="inlineStr">
        <is>
          <t>CUST-0006</t>
        </is>
      </c>
      <c r="D51" s="6" t="inlineStr">
        <is>
          <t>Ethan Ozturk</t>
        </is>
      </c>
      <c r="E51" s="6" t="inlineStr">
        <is>
          <t>Germany</t>
        </is>
      </c>
      <c r="F51" s="6" t="inlineStr">
        <is>
          <t>Data Science Handbook</t>
        </is>
      </c>
      <c r="G51" s="6" t="inlineStr">
        <is>
          <t>Books</t>
        </is>
      </c>
      <c r="H51" s="6" t="n">
        <v>2</v>
      </c>
      <c r="I51" s="8" t="n">
        <v>57.55</v>
      </c>
      <c r="J51" s="9" t="n">
        <v>0</v>
      </c>
      <c r="K51" s="8">
        <f>H51*I51*(1-J51)</f>
        <v/>
      </c>
      <c r="L51" s="6" t="inlineStr">
        <is>
          <t>Bank Transfer</t>
        </is>
      </c>
    </row>
    <row r="52">
      <c r="A52" s="2" t="inlineStr">
        <is>
          <t>ORD-00051</t>
        </is>
      </c>
      <c r="B52" s="3" t="n">
        <v>45004</v>
      </c>
      <c r="C52" s="2" t="inlineStr">
        <is>
          <t>CUST-0063</t>
        </is>
      </c>
      <c r="D52" s="2" t="inlineStr">
        <is>
          <t>Marie Tremblay</t>
        </is>
      </c>
      <c r="E52" s="2" t="inlineStr">
        <is>
          <t>UK</t>
        </is>
      </c>
      <c r="F52" s="2" t="inlineStr">
        <is>
          <t>Laptop Stand</t>
        </is>
      </c>
      <c r="G52" s="2" t="inlineStr">
        <is>
          <t>Electronics</t>
        </is>
      </c>
      <c r="H52" s="2" t="n">
        <v>2</v>
      </c>
      <c r="I52" s="4" t="n">
        <v>45.5</v>
      </c>
      <c r="J52" s="5" t="n">
        <v>0</v>
      </c>
      <c r="K52" s="4">
        <f>H52*I52*(1-J52)</f>
        <v/>
      </c>
      <c r="L52" s="2" t="inlineStr">
        <is>
          <t>Bank Transfer</t>
        </is>
      </c>
    </row>
    <row r="53">
      <c r="A53" s="6" t="inlineStr">
        <is>
          <t>ORD-00052</t>
        </is>
      </c>
      <c r="B53" s="7" t="n">
        <v>45005</v>
      </c>
      <c r="C53" s="6" t="inlineStr">
        <is>
          <t>CUST-0024</t>
        </is>
      </c>
      <c r="D53" s="6" t="inlineStr">
        <is>
          <t>Robert Lee</t>
        </is>
      </c>
      <c r="E53" s="6" t="inlineStr">
        <is>
          <t>France</t>
        </is>
      </c>
      <c r="F53" s="6" t="inlineStr">
        <is>
          <t>Throw Pillow</t>
        </is>
      </c>
      <c r="G53" s="6" t="inlineStr">
        <is>
          <t>Home &amp; Garden</t>
        </is>
      </c>
      <c r="H53" s="6" t="n">
        <v>2</v>
      </c>
      <c r="I53" s="8" t="n">
        <v>22.68</v>
      </c>
      <c r="J53" s="9" t="n">
        <v>0.2</v>
      </c>
      <c r="K53" s="8">
        <f>H53*I53*(1-J53)</f>
        <v/>
      </c>
      <c r="L53" s="6" t="inlineStr">
        <is>
          <t>PayPal</t>
        </is>
      </c>
    </row>
    <row r="54">
      <c r="A54" s="2" t="inlineStr">
        <is>
          <t>ORD-00053</t>
        </is>
      </c>
      <c r="B54" s="3" t="n">
        <v>45007</v>
      </c>
      <c r="C54" s="2" t="inlineStr">
        <is>
          <t>CUST-0098</t>
        </is>
      </c>
      <c r="D54" s="2" t="inlineStr">
        <is>
          <t>Hans Demir</t>
        </is>
      </c>
      <c r="E54" s="2" t="inlineStr">
        <is>
          <t>USA</t>
        </is>
      </c>
      <c r="F54" s="2" t="inlineStr">
        <is>
          <t>Plant Pot Set</t>
        </is>
      </c>
      <c r="G54" s="2" t="inlineStr">
        <is>
          <t>Home &amp; Garden</t>
        </is>
      </c>
      <c r="H54" s="2" t="n">
        <v>2</v>
      </c>
      <c r="I54" s="4" t="n">
        <v>27.43</v>
      </c>
      <c r="J54" s="5" t="n">
        <v>0</v>
      </c>
      <c r="K54" s="4">
        <f>H54*I54*(1-J54)</f>
        <v/>
      </c>
      <c r="L54" s="2" t="inlineStr">
        <is>
          <t>PayPal</t>
        </is>
      </c>
    </row>
    <row r="55">
      <c r="A55" s="6" t="inlineStr">
        <is>
          <t>ORD-00054</t>
        </is>
      </c>
      <c r="B55" s="7" t="n">
        <v>45007</v>
      </c>
      <c r="C55" s="6" t="inlineStr">
        <is>
          <t>CUST-0111</t>
        </is>
      </c>
      <c r="D55" s="6" t="inlineStr">
        <is>
          <t>Noah Fischer</t>
        </is>
      </c>
      <c r="E55" s="6" t="inlineStr">
        <is>
          <t>USA</t>
        </is>
      </c>
      <c r="F55" s="6" t="inlineStr">
        <is>
          <t>Plant Pot Set</t>
        </is>
      </c>
      <c r="G55" s="6" t="inlineStr">
        <is>
          <t>Home &amp; Garden</t>
        </is>
      </c>
      <c r="H55" s="6" t="n">
        <v>1</v>
      </c>
      <c r="I55" s="8" t="n">
        <v>28.63</v>
      </c>
      <c r="J55" s="9" t="n">
        <v>0</v>
      </c>
      <c r="K55" s="8">
        <f>H55*I55*(1-J55)</f>
        <v/>
      </c>
      <c r="L55" s="6" t="inlineStr">
        <is>
          <t>PayPal</t>
        </is>
      </c>
    </row>
    <row r="56">
      <c r="A56" s="2" t="inlineStr">
        <is>
          <t>ORD-00055</t>
        </is>
      </c>
      <c r="B56" s="3" t="n">
        <v>45007</v>
      </c>
      <c r="C56" s="2" t="inlineStr">
        <is>
          <t>CUST-0127</t>
        </is>
      </c>
      <c r="D56" s="2" t="inlineStr">
        <is>
          <t>Sophie Lefebvre</t>
        </is>
      </c>
      <c r="E56" s="2" t="inlineStr">
        <is>
          <t>Germany</t>
        </is>
      </c>
      <c r="F56" s="2" t="inlineStr">
        <is>
          <t>Throw Pillow</t>
        </is>
      </c>
      <c r="G56" s="2" t="inlineStr">
        <is>
          <t>Home &amp; Garden</t>
        </is>
      </c>
      <c r="H56" s="2" t="n">
        <v>3</v>
      </c>
      <c r="I56" s="4" t="n">
        <v>34.15</v>
      </c>
      <c r="J56" s="5" t="n">
        <v>0</v>
      </c>
      <c r="K56" s="4">
        <f>H56*I56*(1-J56)</f>
        <v/>
      </c>
      <c r="L56" s="2" t="inlineStr">
        <is>
          <t>Credit Card</t>
        </is>
      </c>
    </row>
    <row r="57">
      <c r="A57" s="6" t="inlineStr">
        <is>
          <t>ORD-00056</t>
        </is>
      </c>
      <c r="B57" s="7" t="n">
        <v>45008</v>
      </c>
      <c r="C57" s="6" t="inlineStr">
        <is>
          <t>CUST-0042</t>
        </is>
      </c>
      <c r="D57" s="6" t="inlineStr">
        <is>
          <t>Sarah Lefebvre</t>
        </is>
      </c>
      <c r="E57" s="6" t="inlineStr">
        <is>
          <t>Germany</t>
        </is>
      </c>
      <c r="F57" s="6" t="inlineStr">
        <is>
          <t>Running Shoes</t>
        </is>
      </c>
      <c r="G57" s="6" t="inlineStr">
        <is>
          <t>Clothing</t>
        </is>
      </c>
      <c r="H57" s="6" t="n">
        <v>1</v>
      </c>
      <c r="I57" s="8" t="n">
        <v>82.17</v>
      </c>
      <c r="J57" s="9" t="n">
        <v>0</v>
      </c>
      <c r="K57" s="8">
        <f>H57*I57*(1-J57)</f>
        <v/>
      </c>
      <c r="L57" s="6" t="inlineStr">
        <is>
          <t>PayPal</t>
        </is>
      </c>
    </row>
    <row r="58">
      <c r="A58" s="2" t="inlineStr">
        <is>
          <t>ORD-00057</t>
        </is>
      </c>
      <c r="B58" s="3" t="n">
        <v>45009</v>
      </c>
      <c r="C58" s="2" t="inlineStr">
        <is>
          <t>CUST-0009</t>
        </is>
      </c>
      <c r="D58" s="2" t="inlineStr">
        <is>
          <t>Owen Moreau</t>
        </is>
      </c>
      <c r="E58" s="2" t="inlineStr">
        <is>
          <t>USA</t>
        </is>
      </c>
      <c r="F58" s="2" t="inlineStr">
        <is>
          <t>Power Bank</t>
        </is>
      </c>
      <c r="G58" s="2" t="inlineStr">
        <is>
          <t>Electronics</t>
        </is>
      </c>
      <c r="H58" s="2" t="n">
        <v>2</v>
      </c>
      <c r="I58" s="4" t="n">
        <v>35.08</v>
      </c>
      <c r="J58" s="5" t="n">
        <v>0.1</v>
      </c>
      <c r="K58" s="4">
        <f>H58*I58*(1-J58)</f>
        <v/>
      </c>
      <c r="L58" s="2" t="inlineStr">
        <is>
          <t>PayPal</t>
        </is>
      </c>
    </row>
    <row r="59">
      <c r="A59" s="6" t="inlineStr">
        <is>
          <t>ORD-00058</t>
        </is>
      </c>
      <c r="B59" s="7" t="n">
        <v>45010</v>
      </c>
      <c r="C59" s="6" t="inlineStr">
        <is>
          <t>CUST-0150</t>
        </is>
      </c>
      <c r="D59" s="6" t="inlineStr">
        <is>
          <t>Alexander Williams</t>
        </is>
      </c>
      <c r="E59" s="6" t="inlineStr">
        <is>
          <t>USA</t>
        </is>
      </c>
      <c r="F59" s="6" t="inlineStr">
        <is>
          <t>Water Bottle</t>
        </is>
      </c>
      <c r="G59" s="6" t="inlineStr">
        <is>
          <t>Sports</t>
        </is>
      </c>
      <c r="H59" s="6" t="n">
        <v>2</v>
      </c>
      <c r="I59" s="8" t="n">
        <v>18.26</v>
      </c>
      <c r="J59" s="9" t="n">
        <v>0.1</v>
      </c>
      <c r="K59" s="8">
        <f>H59*I59*(1-J59)</f>
        <v/>
      </c>
      <c r="L59" s="6" t="inlineStr">
        <is>
          <t>Credit Card</t>
        </is>
      </c>
    </row>
    <row r="60">
      <c r="A60" s="2" t="inlineStr">
        <is>
          <t>ORD-00059</t>
        </is>
      </c>
      <c r="B60" s="3" t="n">
        <v>45011</v>
      </c>
      <c r="C60" s="2" t="inlineStr">
        <is>
          <t>CUST-0128</t>
        </is>
      </c>
      <c r="D60" s="2" t="inlineStr">
        <is>
          <t>Sophia Jones</t>
        </is>
      </c>
      <c r="E60" s="2" t="inlineStr">
        <is>
          <t>Canada</t>
        </is>
      </c>
      <c r="F60" s="2" t="inlineStr">
        <is>
          <t>Gym Bag</t>
        </is>
      </c>
      <c r="G60" s="2" t="inlineStr">
        <is>
          <t>Sports</t>
        </is>
      </c>
      <c r="H60" s="2" t="n">
        <v>2</v>
      </c>
      <c r="I60" s="4" t="n">
        <v>48.52</v>
      </c>
      <c r="J60" s="5" t="n">
        <v>0.15</v>
      </c>
      <c r="K60" s="4">
        <f>H60*I60*(1-J60)</f>
        <v/>
      </c>
      <c r="L60" s="2" t="inlineStr">
        <is>
          <t>Credit Card</t>
        </is>
      </c>
    </row>
    <row r="61">
      <c r="A61" s="6" t="inlineStr">
        <is>
          <t>ORD-00060</t>
        </is>
      </c>
      <c r="B61" s="7" t="n">
        <v>45011</v>
      </c>
      <c r="C61" s="6" t="inlineStr">
        <is>
          <t>CUST-0069</t>
        </is>
      </c>
      <c r="D61" s="6" t="inlineStr">
        <is>
          <t>Emma Moreau</t>
        </is>
      </c>
      <c r="E61" s="6" t="inlineStr">
        <is>
          <t>Germany</t>
        </is>
      </c>
      <c r="F61" s="6" t="inlineStr">
        <is>
          <t>USB-C Hub</t>
        </is>
      </c>
      <c r="G61" s="6" t="inlineStr">
        <is>
          <t>Electronics</t>
        </is>
      </c>
      <c r="H61" s="6" t="n">
        <v>1</v>
      </c>
      <c r="I61" s="8" t="n">
        <v>50.88</v>
      </c>
      <c r="J61" s="9" t="n">
        <v>0</v>
      </c>
      <c r="K61" s="8">
        <f>H61*I61*(1-J61)</f>
        <v/>
      </c>
      <c r="L61" s="6" t="inlineStr">
        <is>
          <t>Credit Card</t>
        </is>
      </c>
    </row>
    <row r="62">
      <c r="A62" s="2" t="inlineStr">
        <is>
          <t>ORD-00061</t>
        </is>
      </c>
      <c r="B62" s="3" t="n">
        <v>45011</v>
      </c>
      <c r="C62" s="2" t="inlineStr">
        <is>
          <t>CUST-0025</t>
        </is>
      </c>
      <c r="D62" s="2" t="inlineStr">
        <is>
          <t>Sarah Park</t>
        </is>
      </c>
      <c r="E62" s="2" t="inlineStr">
        <is>
          <t>USA</t>
        </is>
      </c>
      <c r="F62" s="2" t="inlineStr">
        <is>
          <t>Wireless Headphones</t>
        </is>
      </c>
      <c r="G62" s="2" t="inlineStr">
        <is>
          <t>Electronics</t>
        </is>
      </c>
      <c r="H62" s="2" t="n">
        <v>1</v>
      </c>
      <c r="I62" s="4" t="n">
        <v>100.14</v>
      </c>
      <c r="J62" s="5" t="n">
        <v>0.1</v>
      </c>
      <c r="K62" s="4">
        <f>H62*I62*(1-J62)</f>
        <v/>
      </c>
      <c r="L62" s="2" t="inlineStr">
        <is>
          <t>Credit Card</t>
        </is>
      </c>
    </row>
    <row r="63">
      <c r="A63" s="6" t="inlineStr">
        <is>
          <t>ORD-00062</t>
        </is>
      </c>
      <c r="B63" s="7" t="n">
        <v>45012</v>
      </c>
      <c r="C63" s="6" t="inlineStr">
        <is>
          <t>CUST-0027</t>
        </is>
      </c>
      <c r="D63" s="6" t="inlineStr">
        <is>
          <t>Amelia Wilson</t>
        </is>
      </c>
      <c r="E63" s="6" t="inlineStr">
        <is>
          <t>UK</t>
        </is>
      </c>
      <c r="F63" s="6" t="inlineStr">
        <is>
          <t>Denim Jeans</t>
        </is>
      </c>
      <c r="G63" s="6" t="inlineStr">
        <is>
          <t>Clothing</t>
        </is>
      </c>
      <c r="H63" s="6" t="n">
        <v>4</v>
      </c>
      <c r="I63" s="8" t="n">
        <v>43.36</v>
      </c>
      <c r="J63" s="9" t="n">
        <v>0</v>
      </c>
      <c r="K63" s="8">
        <f>H63*I63*(1-J63)</f>
        <v/>
      </c>
      <c r="L63" s="6" t="inlineStr">
        <is>
          <t>Credit Card</t>
        </is>
      </c>
    </row>
    <row r="64">
      <c r="A64" s="2" t="inlineStr">
        <is>
          <t>ORD-00063</t>
        </is>
      </c>
      <c r="B64" s="3" t="n">
        <v>45015</v>
      </c>
      <c r="C64" s="2" t="inlineStr">
        <is>
          <t>CUST-0142</t>
        </is>
      </c>
      <c r="D64" s="2" t="inlineStr">
        <is>
          <t>Liam Fraser</t>
        </is>
      </c>
      <c r="E64" s="2" t="inlineStr">
        <is>
          <t>USA</t>
        </is>
      </c>
      <c r="F64" s="2" t="inlineStr">
        <is>
          <t>Running Shoes</t>
        </is>
      </c>
      <c r="G64" s="2" t="inlineStr">
        <is>
          <t>Clothing</t>
        </is>
      </c>
      <c r="H64" s="2" t="n">
        <v>2</v>
      </c>
      <c r="I64" s="4" t="n">
        <v>74.04000000000001</v>
      </c>
      <c r="J64" s="5" t="n">
        <v>0</v>
      </c>
      <c r="K64" s="4">
        <f>H64*I64*(1-J64)</f>
        <v/>
      </c>
      <c r="L64" s="2" t="inlineStr">
        <is>
          <t>PayPal</t>
        </is>
      </c>
    </row>
    <row r="65">
      <c r="A65" s="6" t="inlineStr">
        <is>
          <t>ORD-00064</t>
        </is>
      </c>
      <c r="B65" s="7" t="n">
        <v>45017</v>
      </c>
      <c r="C65" s="6" t="inlineStr">
        <is>
          <t>CUST-0034</t>
        </is>
      </c>
      <c r="D65" s="6" t="inlineStr">
        <is>
          <t>Ayse Schmidt</t>
        </is>
      </c>
      <c r="E65" s="6" t="inlineStr">
        <is>
          <t>Turkey</t>
        </is>
      </c>
      <c r="F65" s="6" t="inlineStr">
        <is>
          <t>Wall Clock</t>
        </is>
      </c>
      <c r="G65" s="6" t="inlineStr">
        <is>
          <t>Home &amp; Garden</t>
        </is>
      </c>
      <c r="H65" s="6" t="n">
        <v>2</v>
      </c>
      <c r="I65" s="8" t="n">
        <v>32.87</v>
      </c>
      <c r="J65" s="9" t="n">
        <v>0.05</v>
      </c>
      <c r="K65" s="8">
        <f>H65*I65*(1-J65)</f>
        <v/>
      </c>
      <c r="L65" s="6" t="inlineStr">
        <is>
          <t>Credit Card</t>
        </is>
      </c>
    </row>
    <row r="66">
      <c r="A66" s="2" t="inlineStr">
        <is>
          <t>ORD-00065</t>
        </is>
      </c>
      <c r="B66" s="3" t="n">
        <v>45020</v>
      </c>
      <c r="C66" s="2" t="inlineStr">
        <is>
          <t>CUST-0038</t>
        </is>
      </c>
      <c r="D66" s="2" t="inlineStr">
        <is>
          <t>Scarlett Moreau</t>
        </is>
      </c>
      <c r="E66" s="2" t="inlineStr">
        <is>
          <t>UK</t>
        </is>
      </c>
      <c r="F66" s="2" t="inlineStr">
        <is>
          <t>Throw Pillow</t>
        </is>
      </c>
      <c r="G66" s="2" t="inlineStr">
        <is>
          <t>Home &amp; Garden</t>
        </is>
      </c>
      <c r="H66" s="2" t="n">
        <v>1</v>
      </c>
      <c r="I66" s="4" t="n">
        <v>23.7</v>
      </c>
      <c r="J66" s="5" t="n">
        <v>0</v>
      </c>
      <c r="K66" s="4">
        <f>H66*I66*(1-J66)</f>
        <v/>
      </c>
      <c r="L66" s="2" t="inlineStr">
        <is>
          <t>Credit Card</t>
        </is>
      </c>
    </row>
    <row r="67">
      <c r="A67" s="6" t="inlineStr">
        <is>
          <t>ORD-00066</t>
        </is>
      </c>
      <c r="B67" s="7" t="n">
        <v>45022</v>
      </c>
      <c r="C67" s="6" t="inlineStr">
        <is>
          <t>CUST-0076</t>
        </is>
      </c>
      <c r="D67" s="6" t="inlineStr">
        <is>
          <t>Amelia Fraser</t>
        </is>
      </c>
      <c r="E67" s="6" t="inlineStr">
        <is>
          <t>Turkey</t>
        </is>
      </c>
      <c r="F67" s="6" t="inlineStr">
        <is>
          <t>Bluetooth Speaker</t>
        </is>
      </c>
      <c r="G67" s="6" t="inlineStr">
        <is>
          <t>Electronics</t>
        </is>
      </c>
      <c r="H67" s="6" t="n">
        <v>2</v>
      </c>
      <c r="I67" s="8" t="n">
        <v>48.36</v>
      </c>
      <c r="J67" s="9" t="n">
        <v>0.05</v>
      </c>
      <c r="K67" s="8">
        <f>H67*I67*(1-J67)</f>
        <v/>
      </c>
      <c r="L67" s="6" t="inlineStr">
        <is>
          <t>Credit Card</t>
        </is>
      </c>
    </row>
    <row r="68">
      <c r="A68" s="2" t="inlineStr">
        <is>
          <t>ORD-00067</t>
        </is>
      </c>
      <c r="B68" s="3" t="n">
        <v>45022</v>
      </c>
      <c r="C68" s="2" t="inlineStr">
        <is>
          <t>CUST-0104</t>
        </is>
      </c>
      <c r="D68" s="2" t="inlineStr">
        <is>
          <t>Robert Moreau</t>
        </is>
      </c>
      <c r="E68" s="2" t="inlineStr">
        <is>
          <t>Germany</t>
        </is>
      </c>
      <c r="F68" s="2" t="inlineStr">
        <is>
          <t>Kitchen Organizer</t>
        </is>
      </c>
      <c r="G68" s="2" t="inlineStr">
        <is>
          <t>Home &amp; Garden</t>
        </is>
      </c>
      <c r="H68" s="2" t="n">
        <v>4</v>
      </c>
      <c r="I68" s="4" t="n">
        <v>37.36</v>
      </c>
      <c r="J68" s="5" t="n">
        <v>0.05</v>
      </c>
      <c r="K68" s="4">
        <f>H68*I68*(1-J68)</f>
        <v/>
      </c>
      <c r="L68" s="2" t="inlineStr">
        <is>
          <t>Credit Card</t>
        </is>
      </c>
    </row>
    <row r="69">
      <c r="A69" s="6" t="inlineStr">
        <is>
          <t>ORD-00068</t>
        </is>
      </c>
      <c r="B69" s="7" t="n">
        <v>45025</v>
      </c>
      <c r="C69" s="6" t="inlineStr">
        <is>
          <t>CUST-0096</t>
        </is>
      </c>
      <c r="D69" s="6" t="inlineStr">
        <is>
          <t>Pierre Brown</t>
        </is>
      </c>
      <c r="E69" s="6" t="inlineStr">
        <is>
          <t>France</t>
        </is>
      </c>
      <c r="F69" s="6" t="inlineStr">
        <is>
          <t>Jump Rope</t>
        </is>
      </c>
      <c r="G69" s="6" t="inlineStr">
        <is>
          <t>Sports</t>
        </is>
      </c>
      <c r="H69" s="6" t="n">
        <v>5</v>
      </c>
      <c r="I69" s="8" t="n">
        <v>8.710000000000001</v>
      </c>
      <c r="J69" s="9" t="n">
        <v>0.05</v>
      </c>
      <c r="K69" s="8">
        <f>H69*I69*(1-J69)</f>
        <v/>
      </c>
      <c r="L69" s="6" t="inlineStr">
        <is>
          <t>PayPal</t>
        </is>
      </c>
    </row>
    <row r="70">
      <c r="A70" s="2" t="inlineStr">
        <is>
          <t>ORD-00069</t>
        </is>
      </c>
      <c r="B70" s="3" t="n">
        <v>45026</v>
      </c>
      <c r="C70" s="2" t="inlineStr">
        <is>
          <t>CUST-0022</t>
        </is>
      </c>
      <c r="D70" s="2" t="inlineStr">
        <is>
          <t>Penelope Chen</t>
        </is>
      </c>
      <c r="E70" s="2" t="inlineStr">
        <is>
          <t>Turkey</t>
        </is>
      </c>
      <c r="F70" s="2" t="inlineStr">
        <is>
          <t>Jump Rope</t>
        </is>
      </c>
      <c r="G70" s="2" t="inlineStr">
        <is>
          <t>Sports</t>
        </is>
      </c>
      <c r="H70" s="2" t="n">
        <v>3</v>
      </c>
      <c r="I70" s="4" t="n">
        <v>12.96</v>
      </c>
      <c r="J70" s="5" t="n">
        <v>0</v>
      </c>
      <c r="K70" s="4">
        <f>H70*I70*(1-J70)</f>
        <v/>
      </c>
      <c r="L70" s="2" t="inlineStr">
        <is>
          <t>Credit Card</t>
        </is>
      </c>
    </row>
    <row r="71">
      <c r="A71" s="6" t="inlineStr">
        <is>
          <t>ORD-00070</t>
        </is>
      </c>
      <c r="B71" s="7" t="n">
        <v>45027</v>
      </c>
      <c r="C71" s="6" t="inlineStr">
        <is>
          <t>CUST-0051</t>
        </is>
      </c>
      <c r="D71" s="6" t="inlineStr">
        <is>
          <t>Thomas Anderson</t>
        </is>
      </c>
      <c r="E71" s="6" t="inlineStr">
        <is>
          <t>Germany</t>
        </is>
      </c>
      <c r="F71" s="6" t="inlineStr">
        <is>
          <t>Fitness Tracker</t>
        </is>
      </c>
      <c r="G71" s="6" t="inlineStr">
        <is>
          <t>Sports</t>
        </is>
      </c>
      <c r="H71" s="6" t="n">
        <v>1</v>
      </c>
      <c r="I71" s="8" t="n">
        <v>77.56999999999999</v>
      </c>
      <c r="J71" s="9" t="n">
        <v>0.1</v>
      </c>
      <c r="K71" s="8">
        <f>H71*I71*(1-J71)</f>
        <v/>
      </c>
      <c r="L71" s="6" t="inlineStr">
        <is>
          <t>Credit Card</t>
        </is>
      </c>
    </row>
    <row r="72">
      <c r="A72" s="2" t="inlineStr">
        <is>
          <t>ORD-00071</t>
        </is>
      </c>
      <c r="B72" s="3" t="n">
        <v>45029</v>
      </c>
      <c r="C72" s="2" t="inlineStr">
        <is>
          <t>CUST-0064</t>
        </is>
      </c>
      <c r="D72" s="2" t="inlineStr">
        <is>
          <t>Charlotte Fischer</t>
        </is>
      </c>
      <c r="E72" s="2" t="inlineStr">
        <is>
          <t>Turkey</t>
        </is>
      </c>
      <c r="F72" s="2" t="inlineStr">
        <is>
          <t>Water Bottle</t>
        </is>
      </c>
      <c r="G72" s="2" t="inlineStr">
        <is>
          <t>Sports</t>
        </is>
      </c>
      <c r="H72" s="2" t="n">
        <v>3</v>
      </c>
      <c r="I72" s="4" t="n">
        <v>22.06</v>
      </c>
      <c r="J72" s="5" t="n">
        <v>0.1</v>
      </c>
      <c r="K72" s="4">
        <f>H72*I72*(1-J72)</f>
        <v/>
      </c>
      <c r="L72" s="2" t="inlineStr">
        <is>
          <t>PayPal</t>
        </is>
      </c>
    </row>
    <row r="73">
      <c r="A73" s="6" t="inlineStr">
        <is>
          <t>ORD-00072</t>
        </is>
      </c>
      <c r="B73" s="7" t="n">
        <v>45030</v>
      </c>
      <c r="C73" s="6" t="inlineStr">
        <is>
          <t>CUST-0085</t>
        </is>
      </c>
      <c r="D73" s="6" t="inlineStr">
        <is>
          <t>Noah Wilson</t>
        </is>
      </c>
      <c r="E73" s="6" t="inlineStr">
        <is>
          <t>Turkey</t>
        </is>
      </c>
      <c r="F73" s="6" t="inlineStr">
        <is>
          <t>Bluetooth Speaker</t>
        </is>
      </c>
      <c r="G73" s="6" t="inlineStr">
        <is>
          <t>Electronics</t>
        </is>
      </c>
      <c r="H73" s="6" t="n">
        <v>2</v>
      </c>
      <c r="I73" s="8" t="n">
        <v>54.55</v>
      </c>
      <c r="J73" s="9" t="n">
        <v>0.2</v>
      </c>
      <c r="K73" s="8">
        <f>H73*I73*(1-J73)</f>
        <v/>
      </c>
      <c r="L73" s="6" t="inlineStr">
        <is>
          <t>Credit Card</t>
        </is>
      </c>
    </row>
    <row r="74">
      <c r="A74" s="2" t="inlineStr">
        <is>
          <t>ORD-00073</t>
        </is>
      </c>
      <c r="B74" s="3" t="n">
        <v>45032</v>
      </c>
      <c r="C74" s="2" t="inlineStr">
        <is>
          <t>CUST-0133</t>
        </is>
      </c>
      <c r="D74" s="2" t="inlineStr">
        <is>
          <t>Charlotte Singh</t>
        </is>
      </c>
      <c r="E74" s="2" t="inlineStr">
        <is>
          <t>USA</t>
        </is>
      </c>
      <c r="F74" s="2" t="inlineStr">
        <is>
          <t>Business Strategy</t>
        </is>
      </c>
      <c r="G74" s="2" t="inlineStr">
        <is>
          <t>Books</t>
        </is>
      </c>
      <c r="H74" s="2" t="n">
        <v>1</v>
      </c>
      <c r="I74" s="4" t="n">
        <v>21.67</v>
      </c>
      <c r="J74" s="5" t="n">
        <v>0.05</v>
      </c>
      <c r="K74" s="4">
        <f>H74*I74*(1-J74)</f>
        <v/>
      </c>
      <c r="L74" s="2" t="inlineStr">
        <is>
          <t>Credit Card</t>
        </is>
      </c>
    </row>
    <row r="75">
      <c r="A75" s="6" t="inlineStr">
        <is>
          <t>ORD-00074</t>
        </is>
      </c>
      <c r="B75" s="7" t="n">
        <v>45034</v>
      </c>
      <c r="C75" s="6" t="inlineStr">
        <is>
          <t>CUST-0042</t>
        </is>
      </c>
      <c r="D75" s="6" t="inlineStr">
        <is>
          <t>Sarah Lefebvre</t>
        </is>
      </c>
      <c r="E75" s="6" t="inlineStr">
        <is>
          <t>Germany</t>
        </is>
      </c>
      <c r="F75" s="6" t="inlineStr">
        <is>
          <t>Leather Belt</t>
        </is>
      </c>
      <c r="G75" s="6" t="inlineStr">
        <is>
          <t>Clothing</t>
        </is>
      </c>
      <c r="H75" s="6" t="n">
        <v>2</v>
      </c>
      <c r="I75" s="8" t="n">
        <v>39.85</v>
      </c>
      <c r="J75" s="9" t="n">
        <v>0.05</v>
      </c>
      <c r="K75" s="8">
        <f>H75*I75*(1-J75)</f>
        <v/>
      </c>
      <c r="L75" s="6" t="inlineStr">
        <is>
          <t>PayPal</t>
        </is>
      </c>
    </row>
    <row r="76">
      <c r="A76" s="2" t="inlineStr">
        <is>
          <t>ORD-00075</t>
        </is>
      </c>
      <c r="B76" s="3" t="n">
        <v>45034</v>
      </c>
      <c r="C76" s="2" t="inlineStr">
        <is>
          <t>CUST-0019</t>
        </is>
      </c>
      <c r="D76" s="2" t="inlineStr">
        <is>
          <t>Noah Williams</t>
        </is>
      </c>
      <c r="E76" s="2" t="inlineStr">
        <is>
          <t>France</t>
        </is>
      </c>
      <c r="F76" s="2" t="inlineStr">
        <is>
          <t>Winter Jacket</t>
        </is>
      </c>
      <c r="G76" s="2" t="inlineStr">
        <is>
          <t>Clothing</t>
        </is>
      </c>
      <c r="H76" s="2" t="n">
        <v>1</v>
      </c>
      <c r="I76" s="4" t="n">
        <v>82.86</v>
      </c>
      <c r="J76" s="5" t="n">
        <v>0.2</v>
      </c>
      <c r="K76" s="4">
        <f>H76*I76*(1-J76)</f>
        <v/>
      </c>
      <c r="L76" s="2" t="inlineStr">
        <is>
          <t>Bank Transfer</t>
        </is>
      </c>
    </row>
    <row r="77">
      <c r="A77" s="6" t="inlineStr">
        <is>
          <t>ORD-00076</t>
        </is>
      </c>
      <c r="B77" s="7" t="n">
        <v>45036</v>
      </c>
      <c r="C77" s="6" t="inlineStr">
        <is>
          <t>CUST-0109</t>
        </is>
      </c>
      <c r="D77" s="6" t="inlineStr">
        <is>
          <t>Thomas Jones</t>
        </is>
      </c>
      <c r="E77" s="6" t="inlineStr">
        <is>
          <t>USA</t>
        </is>
      </c>
      <c r="F77" s="6" t="inlineStr">
        <is>
          <t>Smart Watch Band</t>
        </is>
      </c>
      <c r="G77" s="6" t="inlineStr">
        <is>
          <t>Electronics</t>
        </is>
      </c>
      <c r="H77" s="6" t="n">
        <v>1</v>
      </c>
      <c r="I77" s="8" t="n">
        <v>14.09</v>
      </c>
      <c r="J77" s="9" t="n">
        <v>0.15</v>
      </c>
      <c r="K77" s="8">
        <f>H77*I77*(1-J77)</f>
        <v/>
      </c>
      <c r="L77" s="6" t="inlineStr">
        <is>
          <t>Credit Card</t>
        </is>
      </c>
    </row>
    <row r="78">
      <c r="A78" s="2" t="inlineStr">
        <is>
          <t>ORD-00077</t>
        </is>
      </c>
      <c r="B78" s="3" t="n">
        <v>45038</v>
      </c>
      <c r="C78" s="2" t="inlineStr">
        <is>
          <t>CUST-0064</t>
        </is>
      </c>
      <c r="D78" s="2" t="inlineStr">
        <is>
          <t>Charlotte Fischer</t>
        </is>
      </c>
      <c r="E78" s="2" t="inlineStr">
        <is>
          <t>Turkey</t>
        </is>
      </c>
      <c r="F78" s="2" t="inlineStr">
        <is>
          <t>Water Bottle</t>
        </is>
      </c>
      <c r="G78" s="2" t="inlineStr">
        <is>
          <t>Sports</t>
        </is>
      </c>
      <c r="H78" s="2" t="n">
        <v>2</v>
      </c>
      <c r="I78" s="4" t="n">
        <v>15.82</v>
      </c>
      <c r="J78" s="5" t="n">
        <v>0.05</v>
      </c>
      <c r="K78" s="4">
        <f>H78*I78*(1-J78)</f>
        <v/>
      </c>
      <c r="L78" s="2" t="inlineStr">
        <is>
          <t>PayPal</t>
        </is>
      </c>
    </row>
    <row r="79">
      <c r="A79" s="6" t="inlineStr">
        <is>
          <t>ORD-00078</t>
        </is>
      </c>
      <c r="B79" s="7" t="n">
        <v>45038</v>
      </c>
      <c r="C79" s="6" t="inlineStr">
        <is>
          <t>CUST-0043</t>
        </is>
      </c>
      <c r="D79" s="6" t="inlineStr">
        <is>
          <t>Daniel Mueller</t>
        </is>
      </c>
      <c r="E79" s="6" t="inlineStr">
        <is>
          <t>Germany</t>
        </is>
      </c>
      <c r="F79" s="6" t="inlineStr">
        <is>
          <t>Travel Photography</t>
        </is>
      </c>
      <c r="G79" s="6" t="inlineStr">
        <is>
          <t>Books</t>
        </is>
      </c>
      <c r="H79" s="6" t="n">
        <v>1</v>
      </c>
      <c r="I79" s="8" t="n">
        <v>24.87</v>
      </c>
      <c r="J79" s="9" t="n">
        <v>0</v>
      </c>
      <c r="K79" s="8">
        <f>H79*I79*(1-J79)</f>
        <v/>
      </c>
      <c r="L79" s="6" t="inlineStr">
        <is>
          <t>PayPal</t>
        </is>
      </c>
    </row>
    <row r="80">
      <c r="A80" s="2" t="inlineStr">
        <is>
          <t>ORD-00079</t>
        </is>
      </c>
      <c r="B80" s="3" t="n">
        <v>45040</v>
      </c>
      <c r="C80" s="2" t="inlineStr">
        <is>
          <t>CUST-0073</t>
        </is>
      </c>
      <c r="D80" s="2" t="inlineStr">
        <is>
          <t>Noah Ozturk</t>
        </is>
      </c>
      <c r="E80" s="2" t="inlineStr">
        <is>
          <t>USA</t>
        </is>
      </c>
      <c r="F80" s="2" t="inlineStr">
        <is>
          <t>Jump Rope</t>
        </is>
      </c>
      <c r="G80" s="2" t="inlineStr">
        <is>
          <t>Sports</t>
        </is>
      </c>
      <c r="H80" s="2" t="n">
        <v>2</v>
      </c>
      <c r="I80" s="4" t="n">
        <v>13.83</v>
      </c>
      <c r="J80" s="5" t="n">
        <v>0</v>
      </c>
      <c r="K80" s="4">
        <f>H80*I80*(1-J80)</f>
        <v/>
      </c>
      <c r="L80" s="2" t="inlineStr">
        <is>
          <t>Credit Card</t>
        </is>
      </c>
    </row>
    <row r="81">
      <c r="A81" s="6" t="inlineStr">
        <is>
          <t>ORD-00080</t>
        </is>
      </c>
      <c r="B81" s="7" t="n">
        <v>45043</v>
      </c>
      <c r="C81" s="6" t="inlineStr">
        <is>
          <t>CUST-0119</t>
        </is>
      </c>
      <c r="D81" s="6" t="inlineStr">
        <is>
          <t>Oliver Weber</t>
        </is>
      </c>
      <c r="E81" s="6" t="inlineStr">
        <is>
          <t>USA</t>
        </is>
      </c>
      <c r="F81" s="6" t="inlineStr">
        <is>
          <t>Travel Photography</t>
        </is>
      </c>
      <c r="G81" s="6" t="inlineStr">
        <is>
          <t>Books</t>
        </is>
      </c>
      <c r="H81" s="6" t="n">
        <v>2</v>
      </c>
      <c r="I81" s="8" t="n">
        <v>36.63</v>
      </c>
      <c r="J81" s="9" t="n">
        <v>0.1</v>
      </c>
      <c r="K81" s="8">
        <f>H81*I81*(1-J81)</f>
        <v/>
      </c>
      <c r="L81" s="6" t="inlineStr">
        <is>
          <t>Credit Card</t>
        </is>
      </c>
    </row>
    <row r="82">
      <c r="A82" s="2" t="inlineStr">
        <is>
          <t>ORD-00081</t>
        </is>
      </c>
      <c r="B82" s="3" t="n">
        <v>45049</v>
      </c>
      <c r="C82" s="2" t="inlineStr">
        <is>
          <t>CUST-0002</t>
        </is>
      </c>
      <c r="D82" s="2" t="inlineStr">
        <is>
          <t>Harper Jackson</t>
        </is>
      </c>
      <c r="E82" s="2" t="inlineStr">
        <is>
          <t>USA</t>
        </is>
      </c>
      <c r="F82" s="2" t="inlineStr">
        <is>
          <t>LED Desk Lamp</t>
        </is>
      </c>
      <c r="G82" s="2" t="inlineStr">
        <is>
          <t>Home &amp; Garden</t>
        </is>
      </c>
      <c r="H82" s="2" t="n">
        <v>1</v>
      </c>
      <c r="I82" s="4" t="n">
        <v>31.14</v>
      </c>
      <c r="J82" s="5" t="n">
        <v>0.1</v>
      </c>
      <c r="K82" s="4">
        <f>H82*I82*(1-J82)</f>
        <v/>
      </c>
      <c r="L82" s="2" t="inlineStr">
        <is>
          <t>Credit Card</t>
        </is>
      </c>
    </row>
    <row r="83">
      <c r="A83" s="6" t="inlineStr">
        <is>
          <t>ORD-00082</t>
        </is>
      </c>
      <c r="B83" s="7" t="n">
        <v>45049</v>
      </c>
      <c r="C83" s="6" t="inlineStr">
        <is>
          <t>CUST-0097</t>
        </is>
      </c>
      <c r="D83" s="6" t="inlineStr">
        <is>
          <t>Olivia Brown</t>
        </is>
      </c>
      <c r="E83" s="6" t="inlineStr">
        <is>
          <t>Germany</t>
        </is>
      </c>
      <c r="F83" s="6" t="inlineStr">
        <is>
          <t>Laptop Stand</t>
        </is>
      </c>
      <c r="G83" s="6" t="inlineStr">
        <is>
          <t>Electronics</t>
        </is>
      </c>
      <c r="H83" s="6" t="n">
        <v>1</v>
      </c>
      <c r="I83" s="8" t="n">
        <v>36.69</v>
      </c>
      <c r="J83" s="9" t="n">
        <v>0.05</v>
      </c>
      <c r="K83" s="8">
        <f>H83*I83*(1-J83)</f>
        <v/>
      </c>
      <c r="L83" s="6" t="inlineStr">
        <is>
          <t>Credit Card</t>
        </is>
      </c>
    </row>
    <row r="84">
      <c r="A84" s="2" t="inlineStr">
        <is>
          <t>ORD-00083</t>
        </is>
      </c>
      <c r="B84" s="3" t="n">
        <v>45050</v>
      </c>
      <c r="C84" s="2" t="inlineStr">
        <is>
          <t>CUST-0133</t>
        </is>
      </c>
      <c r="D84" s="2" t="inlineStr">
        <is>
          <t>Charlotte Singh</t>
        </is>
      </c>
      <c r="E84" s="2" t="inlineStr">
        <is>
          <t>USA</t>
        </is>
      </c>
      <c r="F84" s="2" t="inlineStr">
        <is>
          <t>Leather Belt</t>
        </is>
      </c>
      <c r="G84" s="2" t="inlineStr">
        <is>
          <t>Clothing</t>
        </is>
      </c>
      <c r="H84" s="2" t="n">
        <v>2</v>
      </c>
      <c r="I84" s="4" t="n">
        <v>25.24</v>
      </c>
      <c r="J84" s="5" t="n">
        <v>0</v>
      </c>
      <c r="K84" s="4">
        <f>H84*I84*(1-J84)</f>
        <v/>
      </c>
      <c r="L84" s="2" t="inlineStr">
        <is>
          <t>Credit Card</t>
        </is>
      </c>
    </row>
    <row r="85">
      <c r="A85" s="6" t="inlineStr">
        <is>
          <t>ORD-00084</t>
        </is>
      </c>
      <c r="B85" s="7" t="n">
        <v>45052</v>
      </c>
      <c r="C85" s="6" t="inlineStr">
        <is>
          <t>CUST-0069</t>
        </is>
      </c>
      <c r="D85" s="6" t="inlineStr">
        <is>
          <t>Emma Moreau</t>
        </is>
      </c>
      <c r="E85" s="6" t="inlineStr">
        <is>
          <t>Germany</t>
        </is>
      </c>
      <c r="F85" s="6" t="inlineStr">
        <is>
          <t>Denim Jeans</t>
        </is>
      </c>
      <c r="G85" s="6" t="inlineStr">
        <is>
          <t>Clothing</t>
        </is>
      </c>
      <c r="H85" s="6" t="n">
        <v>1</v>
      </c>
      <c r="I85" s="8" t="n">
        <v>43.86</v>
      </c>
      <c r="J85" s="9" t="n">
        <v>0</v>
      </c>
      <c r="K85" s="8">
        <f>H85*I85*(1-J85)</f>
        <v/>
      </c>
      <c r="L85" s="6" t="inlineStr">
        <is>
          <t>PayPal</t>
        </is>
      </c>
    </row>
    <row r="86">
      <c r="A86" s="2" t="inlineStr">
        <is>
          <t>ORD-00085</t>
        </is>
      </c>
      <c r="B86" s="3" t="n">
        <v>45054</v>
      </c>
      <c r="C86" s="2" t="inlineStr">
        <is>
          <t>CUST-0077</t>
        </is>
      </c>
      <c r="D86" s="2" t="inlineStr">
        <is>
          <t>Mason Miller</t>
        </is>
      </c>
      <c r="E86" s="2" t="inlineStr">
        <is>
          <t>USA</t>
        </is>
      </c>
      <c r="F86" s="2" t="inlineStr">
        <is>
          <t>Wall Clock</t>
        </is>
      </c>
      <c r="G86" s="2" t="inlineStr">
        <is>
          <t>Home &amp; Garden</t>
        </is>
      </c>
      <c r="H86" s="2" t="n">
        <v>2</v>
      </c>
      <c r="I86" s="4" t="n">
        <v>32.24</v>
      </c>
      <c r="J86" s="5" t="n">
        <v>0</v>
      </c>
      <c r="K86" s="4">
        <f>H86*I86*(1-J86)</f>
        <v/>
      </c>
      <c r="L86" s="2" t="inlineStr">
        <is>
          <t>Credit Card</t>
        </is>
      </c>
    </row>
    <row r="87">
      <c r="A87" s="6" t="inlineStr">
        <is>
          <t>ORD-00086</t>
        </is>
      </c>
      <c r="B87" s="7" t="n">
        <v>45055</v>
      </c>
      <c r="C87" s="6" t="inlineStr">
        <is>
          <t>CUST-0145</t>
        </is>
      </c>
      <c r="D87" s="6" t="inlineStr">
        <is>
          <t>Mason Schmidt</t>
        </is>
      </c>
      <c r="E87" s="6" t="inlineStr">
        <is>
          <t>UK</t>
        </is>
      </c>
      <c r="F87" s="6" t="inlineStr">
        <is>
          <t>Bluetooth Speaker</t>
        </is>
      </c>
      <c r="G87" s="6" t="inlineStr">
        <is>
          <t>Electronics</t>
        </is>
      </c>
      <c r="H87" s="6" t="n">
        <v>3</v>
      </c>
      <c r="I87" s="8" t="n">
        <v>65.17</v>
      </c>
      <c r="J87" s="9" t="n">
        <v>0</v>
      </c>
      <c r="K87" s="8">
        <f>H87*I87*(1-J87)</f>
        <v/>
      </c>
      <c r="L87" s="6" t="inlineStr">
        <is>
          <t>PayPal</t>
        </is>
      </c>
    </row>
    <row r="88">
      <c r="A88" s="2" t="inlineStr">
        <is>
          <t>ORD-00087</t>
        </is>
      </c>
      <c r="B88" s="3" t="n">
        <v>45056</v>
      </c>
      <c r="C88" s="2" t="inlineStr">
        <is>
          <t>CUST-0071</t>
        </is>
      </c>
      <c r="D88" s="2" t="inlineStr">
        <is>
          <t>Emily Chen</t>
        </is>
      </c>
      <c r="E88" s="2" t="inlineStr">
        <is>
          <t>USA</t>
        </is>
      </c>
      <c r="F88" s="2" t="inlineStr">
        <is>
          <t>Wireless Headphones</t>
        </is>
      </c>
      <c r="G88" s="2" t="inlineStr">
        <is>
          <t>Electronics</t>
        </is>
      </c>
      <c r="H88" s="2" t="n">
        <v>2</v>
      </c>
      <c r="I88" s="4" t="n">
        <v>94.26000000000001</v>
      </c>
      <c r="J88" s="5" t="n">
        <v>0</v>
      </c>
      <c r="K88" s="4">
        <f>H88*I88*(1-J88)</f>
        <v/>
      </c>
      <c r="L88" s="2" t="inlineStr">
        <is>
          <t>Bank Transfer</t>
        </is>
      </c>
    </row>
    <row r="89">
      <c r="A89" s="6" t="inlineStr">
        <is>
          <t>ORD-00088</t>
        </is>
      </c>
      <c r="B89" s="7" t="n">
        <v>45056</v>
      </c>
      <c r="C89" s="6" t="inlineStr">
        <is>
          <t>CUST-0069</t>
        </is>
      </c>
      <c r="D89" s="6" t="inlineStr">
        <is>
          <t>Emma Moreau</t>
        </is>
      </c>
      <c r="E89" s="6" t="inlineStr">
        <is>
          <t>Germany</t>
        </is>
      </c>
      <c r="F89" s="6" t="inlineStr">
        <is>
          <t>Yoga Mat</t>
        </is>
      </c>
      <c r="G89" s="6" t="inlineStr">
        <is>
          <t>Sports</t>
        </is>
      </c>
      <c r="H89" s="6" t="n">
        <v>1</v>
      </c>
      <c r="I89" s="8" t="n">
        <v>43.13</v>
      </c>
      <c r="J89" s="9" t="n">
        <v>0.15</v>
      </c>
      <c r="K89" s="8">
        <f>H89*I89*(1-J89)</f>
        <v/>
      </c>
      <c r="L89" s="6" t="inlineStr">
        <is>
          <t>Credit Card</t>
        </is>
      </c>
    </row>
    <row r="90">
      <c r="A90" s="2" t="inlineStr">
        <is>
          <t>ORD-00089</t>
        </is>
      </c>
      <c r="B90" s="3" t="n">
        <v>45056</v>
      </c>
      <c r="C90" s="2" t="inlineStr">
        <is>
          <t>CUST-0011</t>
        </is>
      </c>
      <c r="D90" s="2" t="inlineStr">
        <is>
          <t>Luna Lee</t>
        </is>
      </c>
      <c r="E90" s="2" t="inlineStr">
        <is>
          <t>USA</t>
        </is>
      </c>
      <c r="F90" s="2" t="inlineStr">
        <is>
          <t>Leather Belt</t>
        </is>
      </c>
      <c r="G90" s="2" t="inlineStr">
        <is>
          <t>Clothing</t>
        </is>
      </c>
      <c r="H90" s="2" t="n">
        <v>5</v>
      </c>
      <c r="I90" s="4" t="n">
        <v>38.05</v>
      </c>
      <c r="J90" s="5" t="n">
        <v>0.1</v>
      </c>
      <c r="K90" s="4">
        <f>H90*I90*(1-J90)</f>
        <v/>
      </c>
      <c r="L90" s="2" t="inlineStr">
        <is>
          <t>PayPal</t>
        </is>
      </c>
    </row>
    <row r="91">
      <c r="A91" s="6" t="inlineStr">
        <is>
          <t>ORD-00090</t>
        </is>
      </c>
      <c r="B91" s="7" t="n">
        <v>45057</v>
      </c>
      <c r="C91" s="6" t="inlineStr">
        <is>
          <t>CUST-0137</t>
        </is>
      </c>
      <c r="D91" s="6" t="inlineStr">
        <is>
          <t>Mia Dupont</t>
        </is>
      </c>
      <c r="E91" s="6" t="inlineStr">
        <is>
          <t>USA</t>
        </is>
      </c>
      <c r="F91" s="6" t="inlineStr">
        <is>
          <t>Power Bank</t>
        </is>
      </c>
      <c r="G91" s="6" t="inlineStr">
        <is>
          <t>Electronics</t>
        </is>
      </c>
      <c r="H91" s="6" t="n">
        <v>2</v>
      </c>
      <c r="I91" s="8" t="n">
        <v>43.67</v>
      </c>
      <c r="J91" s="9" t="n">
        <v>0</v>
      </c>
      <c r="K91" s="8">
        <f>H91*I91*(1-J91)</f>
        <v/>
      </c>
      <c r="L91" s="6" t="inlineStr">
        <is>
          <t>Credit Card</t>
        </is>
      </c>
    </row>
    <row r="92">
      <c r="A92" s="2" t="inlineStr">
        <is>
          <t>ORD-00091</t>
        </is>
      </c>
      <c r="B92" s="3" t="n">
        <v>45059</v>
      </c>
      <c r="C92" s="2" t="inlineStr">
        <is>
          <t>CUST-0111</t>
        </is>
      </c>
      <c r="D92" s="2" t="inlineStr">
        <is>
          <t>Noah Fischer</t>
        </is>
      </c>
      <c r="E92" s="2" t="inlineStr">
        <is>
          <t>USA</t>
        </is>
      </c>
      <c r="F92" s="2" t="inlineStr">
        <is>
          <t>Scented Candle</t>
        </is>
      </c>
      <c r="G92" s="2" t="inlineStr">
        <is>
          <t>Home &amp; Garden</t>
        </is>
      </c>
      <c r="H92" s="2" t="n">
        <v>2</v>
      </c>
      <c r="I92" s="4" t="n">
        <v>22.46</v>
      </c>
      <c r="J92" s="5" t="n">
        <v>0</v>
      </c>
      <c r="K92" s="4">
        <f>H92*I92*(1-J92)</f>
        <v/>
      </c>
      <c r="L92" s="2" t="inlineStr">
        <is>
          <t>Credit Card</t>
        </is>
      </c>
    </row>
    <row r="93">
      <c r="A93" s="6" t="inlineStr">
        <is>
          <t>ORD-00092</t>
        </is>
      </c>
      <c r="B93" s="7" t="n">
        <v>45060</v>
      </c>
      <c r="C93" s="6" t="inlineStr">
        <is>
          <t>CUST-0124</t>
        </is>
      </c>
      <c r="D93" s="6" t="inlineStr">
        <is>
          <t>Harper Williams</t>
        </is>
      </c>
      <c r="E93" s="6" t="inlineStr">
        <is>
          <t>USA</t>
        </is>
      </c>
      <c r="F93" s="6" t="inlineStr">
        <is>
          <t>Python Programming</t>
        </is>
      </c>
      <c r="G93" s="6" t="inlineStr">
        <is>
          <t>Books</t>
        </is>
      </c>
      <c r="H93" s="6" t="n">
        <v>2</v>
      </c>
      <c r="I93" s="8" t="n">
        <v>47.74</v>
      </c>
      <c r="J93" s="9" t="n">
        <v>0</v>
      </c>
      <c r="K93" s="8">
        <f>H93*I93*(1-J93)</f>
        <v/>
      </c>
      <c r="L93" s="6" t="inlineStr">
        <is>
          <t>PayPal</t>
        </is>
      </c>
    </row>
    <row r="94">
      <c r="A94" s="2" t="inlineStr">
        <is>
          <t>ORD-00093</t>
        </is>
      </c>
      <c r="B94" s="3" t="n">
        <v>45061</v>
      </c>
      <c r="C94" s="2" t="inlineStr">
        <is>
          <t>CUST-0024</t>
        </is>
      </c>
      <c r="D94" s="2" t="inlineStr">
        <is>
          <t>Robert Lee</t>
        </is>
      </c>
      <c r="E94" s="2" t="inlineStr">
        <is>
          <t>France</t>
        </is>
      </c>
      <c r="F94" s="2" t="inlineStr">
        <is>
          <t>Business Strategy</t>
        </is>
      </c>
      <c r="G94" s="2" t="inlineStr">
        <is>
          <t>Books</t>
        </is>
      </c>
      <c r="H94" s="2" t="n">
        <v>1</v>
      </c>
      <c r="I94" s="4" t="n">
        <v>34.94</v>
      </c>
      <c r="J94" s="5" t="n">
        <v>0</v>
      </c>
      <c r="K94" s="4">
        <f>H94*I94*(1-J94)</f>
        <v/>
      </c>
      <c r="L94" s="2" t="inlineStr">
        <is>
          <t>Credit Card</t>
        </is>
      </c>
    </row>
    <row r="95">
      <c r="A95" s="6" t="inlineStr">
        <is>
          <t>ORD-00094</t>
        </is>
      </c>
      <c r="B95" s="7" t="n">
        <v>45063</v>
      </c>
      <c r="C95" s="6" t="inlineStr">
        <is>
          <t>CUST-0123</t>
        </is>
      </c>
      <c r="D95" s="6" t="inlineStr">
        <is>
          <t>Olivia Garcia</t>
        </is>
      </c>
      <c r="E95" s="6" t="inlineStr">
        <is>
          <t>France</t>
        </is>
      </c>
      <c r="F95" s="6" t="inlineStr">
        <is>
          <t>Wireless Mouse</t>
        </is>
      </c>
      <c r="G95" s="6" t="inlineStr">
        <is>
          <t>Electronics</t>
        </is>
      </c>
      <c r="H95" s="6" t="n">
        <v>2</v>
      </c>
      <c r="I95" s="8" t="n">
        <v>25.39</v>
      </c>
      <c r="J95" s="9" t="n">
        <v>0.05</v>
      </c>
      <c r="K95" s="8">
        <f>H95*I95*(1-J95)</f>
        <v/>
      </c>
      <c r="L95" s="6" t="inlineStr">
        <is>
          <t>Credit Card</t>
        </is>
      </c>
    </row>
    <row r="96">
      <c r="A96" s="2" t="inlineStr">
        <is>
          <t>ORD-00095</t>
        </is>
      </c>
      <c r="B96" s="3" t="n">
        <v>45066</v>
      </c>
      <c r="C96" s="2" t="inlineStr">
        <is>
          <t>CUST-0150</t>
        </is>
      </c>
      <c r="D96" s="2" t="inlineStr">
        <is>
          <t>Alexander Williams</t>
        </is>
      </c>
      <c r="E96" s="2" t="inlineStr">
        <is>
          <t>USA</t>
        </is>
      </c>
      <c r="F96" s="2" t="inlineStr">
        <is>
          <t>Smartphone Case</t>
        </is>
      </c>
      <c r="G96" s="2" t="inlineStr">
        <is>
          <t>Electronics</t>
        </is>
      </c>
      <c r="H96" s="2" t="n">
        <v>2</v>
      </c>
      <c r="I96" s="4" t="n">
        <v>13.28</v>
      </c>
      <c r="J96" s="5" t="n">
        <v>0.05</v>
      </c>
      <c r="K96" s="4">
        <f>H96*I96*(1-J96)</f>
        <v/>
      </c>
      <c r="L96" s="2" t="inlineStr">
        <is>
          <t>Credit Card</t>
        </is>
      </c>
    </row>
    <row r="97">
      <c r="A97" s="6" t="inlineStr">
        <is>
          <t>ORD-00096</t>
        </is>
      </c>
      <c r="B97" s="7" t="n">
        <v>45067</v>
      </c>
      <c r="C97" s="6" t="inlineStr">
        <is>
          <t>CUST-0086</t>
        </is>
      </c>
      <c r="D97" s="6" t="inlineStr">
        <is>
          <t>Sophie Miller</t>
        </is>
      </c>
      <c r="E97" s="6" t="inlineStr">
        <is>
          <t>USA</t>
        </is>
      </c>
      <c r="F97" s="6" t="inlineStr">
        <is>
          <t>Jump Rope</t>
        </is>
      </c>
      <c r="G97" s="6" t="inlineStr">
        <is>
          <t>Sports</t>
        </is>
      </c>
      <c r="H97" s="6" t="n">
        <v>2</v>
      </c>
      <c r="I97" s="8" t="n">
        <v>13.47</v>
      </c>
      <c r="J97" s="9" t="n">
        <v>0.05</v>
      </c>
      <c r="K97" s="8">
        <f>H97*I97*(1-J97)</f>
        <v/>
      </c>
      <c r="L97" s="6" t="inlineStr">
        <is>
          <t>Credit Card</t>
        </is>
      </c>
    </row>
    <row r="98">
      <c r="A98" s="2" t="inlineStr">
        <is>
          <t>ORD-00097</t>
        </is>
      </c>
      <c r="B98" s="3" t="n">
        <v>45068</v>
      </c>
      <c r="C98" s="2" t="inlineStr">
        <is>
          <t>CUST-0133</t>
        </is>
      </c>
      <c r="D98" s="2" t="inlineStr">
        <is>
          <t>Charlotte Singh</t>
        </is>
      </c>
      <c r="E98" s="2" t="inlineStr">
        <is>
          <t>USA</t>
        </is>
      </c>
      <c r="F98" s="2" t="inlineStr">
        <is>
          <t>Wireless Mouse</t>
        </is>
      </c>
      <c r="G98" s="2" t="inlineStr">
        <is>
          <t>Electronics</t>
        </is>
      </c>
      <c r="H98" s="2" t="n">
        <v>2</v>
      </c>
      <c r="I98" s="4" t="n">
        <v>39.94</v>
      </c>
      <c r="J98" s="5" t="n">
        <v>0</v>
      </c>
      <c r="K98" s="4">
        <f>H98*I98*(1-J98)</f>
        <v/>
      </c>
      <c r="L98" s="2" t="inlineStr">
        <is>
          <t>Bank Transfer</t>
        </is>
      </c>
    </row>
    <row r="99">
      <c r="A99" s="6" t="inlineStr">
        <is>
          <t>ORD-00098</t>
        </is>
      </c>
      <c r="B99" s="7" t="n">
        <v>45068</v>
      </c>
      <c r="C99" s="6" t="inlineStr">
        <is>
          <t>CUST-0148</t>
        </is>
      </c>
      <c r="D99" s="6" t="inlineStr">
        <is>
          <t>Pierre Clark</t>
        </is>
      </c>
      <c r="E99" s="6" t="inlineStr">
        <is>
          <t>Canada</t>
        </is>
      </c>
      <c r="F99" s="6" t="inlineStr">
        <is>
          <t>Denim Jeans</t>
        </is>
      </c>
      <c r="G99" s="6" t="inlineStr">
        <is>
          <t>Clothing</t>
        </is>
      </c>
      <c r="H99" s="6" t="n">
        <v>2</v>
      </c>
      <c r="I99" s="8" t="n">
        <v>59.46</v>
      </c>
      <c r="J99" s="9" t="n">
        <v>0.2</v>
      </c>
      <c r="K99" s="8">
        <f>H99*I99*(1-J99)</f>
        <v/>
      </c>
      <c r="L99" s="6" t="inlineStr">
        <is>
          <t>Bank Transfer</t>
        </is>
      </c>
    </row>
    <row r="100">
      <c r="A100" s="2" t="inlineStr">
        <is>
          <t>ORD-00099</t>
        </is>
      </c>
      <c r="B100" s="3" t="n">
        <v>45068</v>
      </c>
      <c r="C100" s="2" t="inlineStr">
        <is>
          <t>CUST-0031</t>
        </is>
      </c>
      <c r="D100" s="2" t="inlineStr">
        <is>
          <t>Liam Harris</t>
        </is>
      </c>
      <c r="E100" s="2" t="inlineStr">
        <is>
          <t>UK</t>
        </is>
      </c>
      <c r="F100" s="2" t="inlineStr">
        <is>
          <t>Fitness Tracker</t>
        </is>
      </c>
      <c r="G100" s="2" t="inlineStr">
        <is>
          <t>Sports</t>
        </is>
      </c>
      <c r="H100" s="2" t="n">
        <v>4</v>
      </c>
      <c r="I100" s="4" t="n">
        <v>69.15000000000001</v>
      </c>
      <c r="J100" s="5" t="n">
        <v>0</v>
      </c>
      <c r="K100" s="4">
        <f>H100*I100*(1-J100)</f>
        <v/>
      </c>
      <c r="L100" s="2" t="inlineStr">
        <is>
          <t>Credit Card</t>
        </is>
      </c>
    </row>
    <row r="101">
      <c r="A101" s="6" t="inlineStr">
        <is>
          <t>ORD-00100</t>
        </is>
      </c>
      <c r="B101" s="7" t="n">
        <v>45069</v>
      </c>
      <c r="C101" s="6" t="inlineStr">
        <is>
          <t>CUST-0113</t>
        </is>
      </c>
      <c r="D101" s="6" t="inlineStr">
        <is>
          <t>Noah Jackson</t>
        </is>
      </c>
      <c r="E101" s="6" t="inlineStr">
        <is>
          <t>UK</t>
        </is>
      </c>
      <c r="F101" s="6" t="inlineStr">
        <is>
          <t>Smartphone Case</t>
        </is>
      </c>
      <c r="G101" s="6" t="inlineStr">
        <is>
          <t>Electronics</t>
        </is>
      </c>
      <c r="H101" s="6" t="n">
        <v>1</v>
      </c>
      <c r="I101" s="8" t="n">
        <v>20.28</v>
      </c>
      <c r="J101" s="9" t="n">
        <v>0</v>
      </c>
      <c r="K101" s="8">
        <f>H101*I101*(1-J101)</f>
        <v/>
      </c>
      <c r="L101" s="6" t="inlineStr">
        <is>
          <t>Credit Card</t>
        </is>
      </c>
    </row>
    <row r="102">
      <c r="A102" s="2" t="inlineStr">
        <is>
          <t>ORD-00101</t>
        </is>
      </c>
      <c r="B102" s="3" t="n">
        <v>45070</v>
      </c>
      <c r="C102" s="2" t="inlineStr">
        <is>
          <t>CUST-0138</t>
        </is>
      </c>
      <c r="D102" s="2" t="inlineStr">
        <is>
          <t>Anna Clark</t>
        </is>
      </c>
      <c r="E102" s="2" t="inlineStr">
        <is>
          <t>Turkey</t>
        </is>
      </c>
      <c r="F102" s="2" t="inlineStr">
        <is>
          <t>Smartphone Case</t>
        </is>
      </c>
      <c r="G102" s="2" t="inlineStr">
        <is>
          <t>Electronics</t>
        </is>
      </c>
      <c r="H102" s="2" t="n">
        <v>4</v>
      </c>
      <c r="I102" s="4" t="n">
        <v>24.54</v>
      </c>
      <c r="J102" s="5" t="n">
        <v>0.15</v>
      </c>
      <c r="K102" s="4">
        <f>H102*I102*(1-J102)</f>
        <v/>
      </c>
      <c r="L102" s="2" t="inlineStr">
        <is>
          <t>PayPal</t>
        </is>
      </c>
    </row>
    <row r="103">
      <c r="A103" s="6" t="inlineStr">
        <is>
          <t>ORD-00102</t>
        </is>
      </c>
      <c r="B103" s="7" t="n">
        <v>45072</v>
      </c>
      <c r="C103" s="6" t="inlineStr">
        <is>
          <t>CUST-0090</t>
        </is>
      </c>
      <c r="D103" s="6" t="inlineStr">
        <is>
          <t>Aria Brown</t>
        </is>
      </c>
      <c r="E103" s="6" t="inlineStr">
        <is>
          <t>USA</t>
        </is>
      </c>
      <c r="F103" s="6" t="inlineStr">
        <is>
          <t>Winter Jacket</t>
        </is>
      </c>
      <c r="G103" s="6" t="inlineStr">
        <is>
          <t>Clothing</t>
        </is>
      </c>
      <c r="H103" s="6" t="n">
        <v>2</v>
      </c>
      <c r="I103" s="8" t="n">
        <v>132.73</v>
      </c>
      <c r="J103" s="9" t="n">
        <v>0</v>
      </c>
      <c r="K103" s="8">
        <f>H103*I103*(1-J103)</f>
        <v/>
      </c>
      <c r="L103" s="6" t="inlineStr">
        <is>
          <t>Credit Card</t>
        </is>
      </c>
    </row>
    <row r="104">
      <c r="A104" s="2" t="inlineStr">
        <is>
          <t>ORD-00103</t>
        </is>
      </c>
      <c r="B104" s="3" t="n">
        <v>45073</v>
      </c>
      <c r="C104" s="2" t="inlineStr">
        <is>
          <t>CUST-0081</t>
        </is>
      </c>
      <c r="D104" s="2" t="inlineStr">
        <is>
          <t>David Clark</t>
        </is>
      </c>
      <c r="E104" s="2" t="inlineStr">
        <is>
          <t>Turkey</t>
        </is>
      </c>
      <c r="F104" s="2" t="inlineStr">
        <is>
          <t>Data Science Handbook</t>
        </is>
      </c>
      <c r="G104" s="2" t="inlineStr">
        <is>
          <t>Books</t>
        </is>
      </c>
      <c r="H104" s="2" t="n">
        <v>2</v>
      </c>
      <c r="I104" s="4" t="n">
        <v>54.46</v>
      </c>
      <c r="J104" s="5" t="n">
        <v>0.1</v>
      </c>
      <c r="K104" s="4">
        <f>H104*I104*(1-J104)</f>
        <v/>
      </c>
      <c r="L104" s="2" t="inlineStr">
        <is>
          <t>Credit Card</t>
        </is>
      </c>
    </row>
    <row r="105">
      <c r="A105" s="6" t="inlineStr">
        <is>
          <t>ORD-00104</t>
        </is>
      </c>
      <c r="B105" s="7" t="n">
        <v>45074</v>
      </c>
      <c r="C105" s="6" t="inlineStr">
        <is>
          <t>CUST-0075</t>
        </is>
      </c>
      <c r="D105" s="6" t="inlineStr">
        <is>
          <t>Elijah Bernard</t>
        </is>
      </c>
      <c r="E105" s="6" t="inlineStr">
        <is>
          <t>Germany</t>
        </is>
      </c>
      <c r="F105" s="6" t="inlineStr">
        <is>
          <t>Wool Scarf</t>
        </is>
      </c>
      <c r="G105" s="6" t="inlineStr">
        <is>
          <t>Clothing</t>
        </is>
      </c>
      <c r="H105" s="6" t="n">
        <v>2</v>
      </c>
      <c r="I105" s="8" t="n">
        <v>28.81</v>
      </c>
      <c r="J105" s="9" t="n">
        <v>0</v>
      </c>
      <c r="K105" s="8">
        <f>H105*I105*(1-J105)</f>
        <v/>
      </c>
      <c r="L105" s="6" t="inlineStr">
        <is>
          <t>PayPal</t>
        </is>
      </c>
    </row>
    <row r="106">
      <c r="A106" s="2" t="inlineStr">
        <is>
          <t>ORD-00105</t>
        </is>
      </c>
      <c r="B106" s="3" t="n">
        <v>45075</v>
      </c>
      <c r="C106" s="2" t="inlineStr">
        <is>
          <t>CUST-0043</t>
        </is>
      </c>
      <c r="D106" s="2" t="inlineStr">
        <is>
          <t>Daniel Mueller</t>
        </is>
      </c>
      <c r="E106" s="2" t="inlineStr">
        <is>
          <t>Germany</t>
        </is>
      </c>
      <c r="F106" s="2" t="inlineStr">
        <is>
          <t>Kitchen Organizer</t>
        </is>
      </c>
      <c r="G106" s="2" t="inlineStr">
        <is>
          <t>Home &amp; Garden</t>
        </is>
      </c>
      <c r="H106" s="2" t="n">
        <v>2</v>
      </c>
      <c r="I106" s="4" t="n">
        <v>30.54</v>
      </c>
      <c r="J106" s="5" t="n">
        <v>0.05</v>
      </c>
      <c r="K106" s="4">
        <f>H106*I106*(1-J106)</f>
        <v/>
      </c>
      <c r="L106" s="2" t="inlineStr">
        <is>
          <t>Bank Transfer</t>
        </is>
      </c>
    </row>
    <row r="107">
      <c r="A107" s="6" t="inlineStr">
        <is>
          <t>ORD-00106</t>
        </is>
      </c>
      <c r="B107" s="7" t="n">
        <v>45076</v>
      </c>
      <c r="C107" s="6" t="inlineStr">
        <is>
          <t>CUST-0075</t>
        </is>
      </c>
      <c r="D107" s="6" t="inlineStr">
        <is>
          <t>Elijah Bernard</t>
        </is>
      </c>
      <c r="E107" s="6" t="inlineStr">
        <is>
          <t>Germany</t>
        </is>
      </c>
      <c r="F107" s="6" t="inlineStr">
        <is>
          <t>Smartphone Case</t>
        </is>
      </c>
      <c r="G107" s="6" t="inlineStr">
        <is>
          <t>Electronics</t>
        </is>
      </c>
      <c r="H107" s="6" t="n">
        <v>2</v>
      </c>
      <c r="I107" s="8" t="n">
        <v>16.92</v>
      </c>
      <c r="J107" s="9" t="n">
        <v>0</v>
      </c>
      <c r="K107" s="8">
        <f>H107*I107*(1-J107)</f>
        <v/>
      </c>
      <c r="L107" s="6" t="inlineStr">
        <is>
          <t>Credit Card</t>
        </is>
      </c>
    </row>
    <row r="108">
      <c r="A108" s="2" t="inlineStr">
        <is>
          <t>ORD-00107</t>
        </is>
      </c>
      <c r="B108" s="3" t="n">
        <v>45076</v>
      </c>
      <c r="C108" s="2" t="inlineStr">
        <is>
          <t>CUST-0124</t>
        </is>
      </c>
      <c r="D108" s="2" t="inlineStr">
        <is>
          <t>Harper Williams</t>
        </is>
      </c>
      <c r="E108" s="2" t="inlineStr">
        <is>
          <t>USA</t>
        </is>
      </c>
      <c r="F108" s="2" t="inlineStr">
        <is>
          <t>Python Programming</t>
        </is>
      </c>
      <c r="G108" s="2" t="inlineStr">
        <is>
          <t>Books</t>
        </is>
      </c>
      <c r="H108" s="2" t="n">
        <v>2</v>
      </c>
      <c r="I108" s="4" t="n">
        <v>34.37</v>
      </c>
      <c r="J108" s="5" t="n">
        <v>0</v>
      </c>
      <c r="K108" s="4">
        <f>H108*I108*(1-J108)</f>
        <v/>
      </c>
      <c r="L108" s="2" t="inlineStr">
        <is>
          <t>Credit Card</t>
        </is>
      </c>
    </row>
    <row r="109">
      <c r="A109" s="6" t="inlineStr">
        <is>
          <t>ORD-00108</t>
        </is>
      </c>
      <c r="B109" s="7" t="n">
        <v>45076</v>
      </c>
      <c r="C109" s="6" t="inlineStr">
        <is>
          <t>CUST-0039</t>
        </is>
      </c>
      <c r="D109" s="6" t="inlineStr">
        <is>
          <t>Ethan Rodriguez</t>
        </is>
      </c>
      <c r="E109" s="6" t="inlineStr">
        <is>
          <t>Germany</t>
        </is>
      </c>
      <c r="F109" s="6" t="inlineStr">
        <is>
          <t>Scented Candle</t>
        </is>
      </c>
      <c r="G109" s="6" t="inlineStr">
        <is>
          <t>Home &amp; Garden</t>
        </is>
      </c>
      <c r="H109" s="6" t="n">
        <v>2</v>
      </c>
      <c r="I109" s="8" t="n">
        <v>12.64</v>
      </c>
      <c r="J109" s="9" t="n">
        <v>0.25</v>
      </c>
      <c r="K109" s="8">
        <f>H109*I109*(1-J109)</f>
        <v/>
      </c>
      <c r="L109" s="6" t="inlineStr">
        <is>
          <t>PayPal</t>
        </is>
      </c>
    </row>
    <row r="110">
      <c r="A110" s="2" t="inlineStr">
        <is>
          <t>ORD-00109</t>
        </is>
      </c>
      <c r="B110" s="3" t="n">
        <v>45078</v>
      </c>
      <c r="C110" s="2" t="inlineStr">
        <is>
          <t>CUST-0061</t>
        </is>
      </c>
      <c r="D110" s="2" t="inlineStr">
        <is>
          <t>Pierre Rodriguez</t>
        </is>
      </c>
      <c r="E110" s="2" t="inlineStr">
        <is>
          <t>USA</t>
        </is>
      </c>
      <c r="F110" s="2" t="inlineStr">
        <is>
          <t>Laptop Stand</t>
        </is>
      </c>
      <c r="G110" s="2" t="inlineStr">
        <is>
          <t>Electronics</t>
        </is>
      </c>
      <c r="H110" s="2" t="n">
        <v>2</v>
      </c>
      <c r="I110" s="4" t="n">
        <v>25.91</v>
      </c>
      <c r="J110" s="5" t="n">
        <v>0.1</v>
      </c>
      <c r="K110" s="4">
        <f>H110*I110*(1-J110)</f>
        <v/>
      </c>
      <c r="L110" s="2" t="inlineStr">
        <is>
          <t>PayPal</t>
        </is>
      </c>
    </row>
    <row r="111">
      <c r="A111" s="6" t="inlineStr">
        <is>
          <t>ORD-00110</t>
        </is>
      </c>
      <c r="B111" s="7" t="n">
        <v>45079</v>
      </c>
      <c r="C111" s="6" t="inlineStr">
        <is>
          <t>CUST-0145</t>
        </is>
      </c>
      <c r="D111" s="6" t="inlineStr">
        <is>
          <t>Mason Schmidt</t>
        </is>
      </c>
      <c r="E111" s="6" t="inlineStr">
        <is>
          <t>UK</t>
        </is>
      </c>
      <c r="F111" s="6" t="inlineStr">
        <is>
          <t>Python Programming</t>
        </is>
      </c>
      <c r="G111" s="6" t="inlineStr">
        <is>
          <t>Books</t>
        </is>
      </c>
      <c r="H111" s="6" t="n">
        <v>1</v>
      </c>
      <c r="I111" s="8" t="n">
        <v>49.87</v>
      </c>
      <c r="J111" s="9" t="n">
        <v>0.1</v>
      </c>
      <c r="K111" s="8">
        <f>H111*I111*(1-J111)</f>
        <v/>
      </c>
      <c r="L111" s="6" t="inlineStr">
        <is>
          <t>PayPal</t>
        </is>
      </c>
    </row>
    <row r="112">
      <c r="A112" s="2" t="inlineStr">
        <is>
          <t>ORD-00111</t>
        </is>
      </c>
      <c r="B112" s="3" t="n">
        <v>45079</v>
      </c>
      <c r="C112" s="2" t="inlineStr">
        <is>
          <t>CUST-0009</t>
        </is>
      </c>
      <c r="D112" s="2" t="inlineStr">
        <is>
          <t>Owen Moreau</t>
        </is>
      </c>
      <c r="E112" s="2" t="inlineStr">
        <is>
          <t>USA</t>
        </is>
      </c>
      <c r="F112" s="2" t="inlineStr">
        <is>
          <t>Throw Pillow</t>
        </is>
      </c>
      <c r="G112" s="2" t="inlineStr">
        <is>
          <t>Home &amp; Garden</t>
        </is>
      </c>
      <c r="H112" s="2" t="n">
        <v>1</v>
      </c>
      <c r="I112" s="4" t="n">
        <v>19.91</v>
      </c>
      <c r="J112" s="5" t="n">
        <v>0.05</v>
      </c>
      <c r="K112" s="4">
        <f>H112*I112*(1-J112)</f>
        <v/>
      </c>
      <c r="L112" s="2" t="inlineStr">
        <is>
          <t>PayPal</t>
        </is>
      </c>
    </row>
    <row r="113">
      <c r="A113" s="6" t="inlineStr">
        <is>
          <t>ORD-00112</t>
        </is>
      </c>
      <c r="B113" s="7" t="n">
        <v>45079</v>
      </c>
      <c r="C113" s="6" t="inlineStr">
        <is>
          <t>CUST-0024</t>
        </is>
      </c>
      <c r="D113" s="6" t="inlineStr">
        <is>
          <t>Robert Lee</t>
        </is>
      </c>
      <c r="E113" s="6" t="inlineStr">
        <is>
          <t>France</t>
        </is>
      </c>
      <c r="F113" s="6" t="inlineStr">
        <is>
          <t>Yoga Mat</t>
        </is>
      </c>
      <c r="G113" s="6" t="inlineStr">
        <is>
          <t>Sports</t>
        </is>
      </c>
      <c r="H113" s="6" t="n">
        <v>1</v>
      </c>
      <c r="I113" s="8" t="n">
        <v>41.7</v>
      </c>
      <c r="J113" s="9" t="n">
        <v>0</v>
      </c>
      <c r="K113" s="8">
        <f>H113*I113*(1-J113)</f>
        <v/>
      </c>
      <c r="L113" s="6" t="inlineStr">
        <is>
          <t>Credit Card</t>
        </is>
      </c>
    </row>
    <row r="114">
      <c r="A114" s="2" t="inlineStr">
        <is>
          <t>ORD-00113</t>
        </is>
      </c>
      <c r="B114" s="3" t="n">
        <v>45080</v>
      </c>
      <c r="C114" s="2" t="inlineStr">
        <is>
          <t>CUST-0043</t>
        </is>
      </c>
      <c r="D114" s="2" t="inlineStr">
        <is>
          <t>Daniel Mueller</t>
        </is>
      </c>
      <c r="E114" s="2" t="inlineStr">
        <is>
          <t>Germany</t>
        </is>
      </c>
      <c r="F114" s="2" t="inlineStr">
        <is>
          <t>Wool Scarf</t>
        </is>
      </c>
      <c r="G114" s="2" t="inlineStr">
        <is>
          <t>Clothing</t>
        </is>
      </c>
      <c r="H114" s="2" t="n">
        <v>2</v>
      </c>
      <c r="I114" s="4" t="n">
        <v>31.04</v>
      </c>
      <c r="J114" s="5" t="n">
        <v>0.1</v>
      </c>
      <c r="K114" s="4">
        <f>H114*I114*(1-J114)</f>
        <v/>
      </c>
      <c r="L114" s="2" t="inlineStr">
        <is>
          <t>Credit Card</t>
        </is>
      </c>
    </row>
    <row r="115">
      <c r="A115" s="6" t="inlineStr">
        <is>
          <t>ORD-00114</t>
        </is>
      </c>
      <c r="B115" s="7" t="n">
        <v>45080</v>
      </c>
      <c r="C115" s="6" t="inlineStr">
        <is>
          <t>CUST-0025</t>
        </is>
      </c>
      <c r="D115" s="6" t="inlineStr">
        <is>
          <t>Sarah Park</t>
        </is>
      </c>
      <c r="E115" s="6" t="inlineStr">
        <is>
          <t>USA</t>
        </is>
      </c>
      <c r="F115" s="6" t="inlineStr">
        <is>
          <t>Wireless Headphones</t>
        </is>
      </c>
      <c r="G115" s="6" t="inlineStr">
        <is>
          <t>Electronics</t>
        </is>
      </c>
      <c r="H115" s="6" t="n">
        <v>2</v>
      </c>
      <c r="I115" s="8" t="n">
        <v>120.21</v>
      </c>
      <c r="J115" s="9" t="n">
        <v>0.1</v>
      </c>
      <c r="K115" s="8">
        <f>H115*I115*(1-J115)</f>
        <v/>
      </c>
      <c r="L115" s="6" t="inlineStr">
        <is>
          <t>Credit Card</t>
        </is>
      </c>
    </row>
    <row r="116">
      <c r="A116" s="2" t="inlineStr">
        <is>
          <t>ORD-00115</t>
        </is>
      </c>
      <c r="B116" s="3" t="n">
        <v>45083</v>
      </c>
      <c r="C116" s="2" t="inlineStr">
        <is>
          <t>CUST-0145</t>
        </is>
      </c>
      <c r="D116" s="2" t="inlineStr">
        <is>
          <t>Mason Schmidt</t>
        </is>
      </c>
      <c r="E116" s="2" t="inlineStr">
        <is>
          <t>UK</t>
        </is>
      </c>
      <c r="F116" s="2" t="inlineStr">
        <is>
          <t>Kitchen Organizer</t>
        </is>
      </c>
      <c r="G116" s="2" t="inlineStr">
        <is>
          <t>Home &amp; Garden</t>
        </is>
      </c>
      <c r="H116" s="2" t="n">
        <v>1</v>
      </c>
      <c r="I116" s="4" t="n">
        <v>43.96</v>
      </c>
      <c r="J116" s="5" t="n">
        <v>0</v>
      </c>
      <c r="K116" s="4">
        <f>H116*I116*(1-J116)</f>
        <v/>
      </c>
      <c r="L116" s="2" t="inlineStr">
        <is>
          <t>PayPal</t>
        </is>
      </c>
    </row>
    <row r="117">
      <c r="A117" s="6" t="inlineStr">
        <is>
          <t>ORD-00116</t>
        </is>
      </c>
      <c r="B117" s="7" t="n">
        <v>45086</v>
      </c>
      <c r="C117" s="6" t="inlineStr">
        <is>
          <t>CUST-0138</t>
        </is>
      </c>
      <c r="D117" s="6" t="inlineStr">
        <is>
          <t>Anna Clark</t>
        </is>
      </c>
      <c r="E117" s="6" t="inlineStr">
        <is>
          <t>Turkey</t>
        </is>
      </c>
      <c r="F117" s="6" t="inlineStr">
        <is>
          <t>Wool Scarf</t>
        </is>
      </c>
      <c r="G117" s="6" t="inlineStr">
        <is>
          <t>Clothing</t>
        </is>
      </c>
      <c r="H117" s="6" t="n">
        <v>3</v>
      </c>
      <c r="I117" s="8" t="n">
        <v>35.85</v>
      </c>
      <c r="J117" s="9" t="n">
        <v>0.1</v>
      </c>
      <c r="K117" s="8">
        <f>H117*I117*(1-J117)</f>
        <v/>
      </c>
      <c r="L117" s="6" t="inlineStr">
        <is>
          <t>Credit Card</t>
        </is>
      </c>
    </row>
    <row r="118">
      <c r="A118" s="2" t="inlineStr">
        <is>
          <t>ORD-00117</t>
        </is>
      </c>
      <c r="B118" s="3" t="n">
        <v>45088</v>
      </c>
      <c r="C118" s="2" t="inlineStr">
        <is>
          <t>CUST-0023</t>
        </is>
      </c>
      <c r="D118" s="2" t="inlineStr">
        <is>
          <t>Lucas Kaya</t>
        </is>
      </c>
      <c r="E118" s="2" t="inlineStr">
        <is>
          <t>UK</t>
        </is>
      </c>
      <c r="F118" s="2" t="inlineStr">
        <is>
          <t>Self-Help Guide</t>
        </is>
      </c>
      <c r="G118" s="2" t="inlineStr">
        <is>
          <t>Books</t>
        </is>
      </c>
      <c r="H118" s="2" t="n">
        <v>1</v>
      </c>
      <c r="I118" s="4" t="n">
        <v>17.23</v>
      </c>
      <c r="J118" s="5" t="n">
        <v>0.05</v>
      </c>
      <c r="K118" s="4">
        <f>H118*I118*(1-J118)</f>
        <v/>
      </c>
      <c r="L118" s="2" t="inlineStr">
        <is>
          <t>Credit Card</t>
        </is>
      </c>
    </row>
    <row r="119">
      <c r="A119" s="6" t="inlineStr">
        <is>
          <t>ORD-00118</t>
        </is>
      </c>
      <c r="B119" s="7" t="n">
        <v>45092</v>
      </c>
      <c r="C119" s="6" t="inlineStr">
        <is>
          <t>CUST-0052</t>
        </is>
      </c>
      <c r="D119" s="6" t="inlineStr">
        <is>
          <t>Oliver Chen</t>
        </is>
      </c>
      <c r="E119" s="6" t="inlineStr">
        <is>
          <t>USA</t>
        </is>
      </c>
      <c r="F119" s="6" t="inlineStr">
        <is>
          <t>Resistance Bands</t>
        </is>
      </c>
      <c r="G119" s="6" t="inlineStr">
        <is>
          <t>Sports</t>
        </is>
      </c>
      <c r="H119" s="6" t="n">
        <v>1</v>
      </c>
      <c r="I119" s="8" t="n">
        <v>27.45</v>
      </c>
      <c r="J119" s="9" t="n">
        <v>0.05</v>
      </c>
      <c r="K119" s="8">
        <f>H119*I119*(1-J119)</f>
        <v/>
      </c>
      <c r="L119" s="6" t="inlineStr">
        <is>
          <t>Credit Card</t>
        </is>
      </c>
    </row>
    <row r="120">
      <c r="A120" s="2" t="inlineStr">
        <is>
          <t>ORD-00119</t>
        </is>
      </c>
      <c r="B120" s="3" t="n">
        <v>45093</v>
      </c>
      <c r="C120" s="2" t="inlineStr">
        <is>
          <t>CUST-0118</t>
        </is>
      </c>
      <c r="D120" s="2" t="inlineStr">
        <is>
          <t>Oliver Rodriguez</t>
        </is>
      </c>
      <c r="E120" s="2" t="inlineStr">
        <is>
          <t>USA</t>
        </is>
      </c>
      <c r="F120" s="2" t="inlineStr">
        <is>
          <t>Wall Clock</t>
        </is>
      </c>
      <c r="G120" s="2" t="inlineStr">
        <is>
          <t>Home &amp; Garden</t>
        </is>
      </c>
      <c r="H120" s="2" t="n">
        <v>3</v>
      </c>
      <c r="I120" s="4" t="n">
        <v>25.58</v>
      </c>
      <c r="J120" s="5" t="n">
        <v>0.15</v>
      </c>
      <c r="K120" s="4">
        <f>H120*I120*(1-J120)</f>
        <v/>
      </c>
      <c r="L120" s="2" t="inlineStr">
        <is>
          <t>PayPal</t>
        </is>
      </c>
    </row>
    <row r="121">
      <c r="A121" s="6" t="inlineStr">
        <is>
          <t>ORD-00120</t>
        </is>
      </c>
      <c r="B121" s="7" t="n">
        <v>45093</v>
      </c>
      <c r="C121" s="6" t="inlineStr">
        <is>
          <t>CUST-0147</t>
        </is>
      </c>
      <c r="D121" s="6" t="inlineStr">
        <is>
          <t>Hans Schmidt</t>
        </is>
      </c>
      <c r="E121" s="6" t="inlineStr">
        <is>
          <t>France</t>
        </is>
      </c>
      <c r="F121" s="6" t="inlineStr">
        <is>
          <t>Resistance Bands</t>
        </is>
      </c>
      <c r="G121" s="6" t="inlineStr">
        <is>
          <t>Sports</t>
        </is>
      </c>
      <c r="H121" s="6" t="n">
        <v>2</v>
      </c>
      <c r="I121" s="8" t="n">
        <v>27.13</v>
      </c>
      <c r="J121" s="9" t="n">
        <v>0.1</v>
      </c>
      <c r="K121" s="8">
        <f>H121*I121*(1-J121)</f>
        <v/>
      </c>
      <c r="L121" s="6" t="inlineStr">
        <is>
          <t>Credit Card</t>
        </is>
      </c>
    </row>
    <row r="122">
      <c r="A122" s="2" t="inlineStr">
        <is>
          <t>ORD-00121</t>
        </is>
      </c>
      <c r="B122" s="3" t="n">
        <v>45094</v>
      </c>
      <c r="C122" s="2" t="inlineStr">
        <is>
          <t>CUST-0100</t>
        </is>
      </c>
      <c r="D122" s="2" t="inlineStr">
        <is>
          <t>Noah Tremblay</t>
        </is>
      </c>
      <c r="E122" s="2" t="inlineStr">
        <is>
          <t>USA</t>
        </is>
      </c>
      <c r="F122" s="2" t="inlineStr">
        <is>
          <t>Resistance Bands</t>
        </is>
      </c>
      <c r="G122" s="2" t="inlineStr">
        <is>
          <t>Sports</t>
        </is>
      </c>
      <c r="H122" s="2" t="n">
        <v>2</v>
      </c>
      <c r="I122" s="4" t="n">
        <v>15.25</v>
      </c>
      <c r="J122" s="5" t="n">
        <v>0</v>
      </c>
      <c r="K122" s="4">
        <f>H122*I122*(1-J122)</f>
        <v/>
      </c>
      <c r="L122" s="2" t="inlineStr">
        <is>
          <t>PayPal</t>
        </is>
      </c>
    </row>
    <row r="123">
      <c r="A123" s="6" t="inlineStr">
        <is>
          <t>ORD-00122</t>
        </is>
      </c>
      <c r="B123" s="7" t="n">
        <v>45097</v>
      </c>
      <c r="C123" s="6" t="inlineStr">
        <is>
          <t>CUST-0106</t>
        </is>
      </c>
      <c r="D123" s="6" t="inlineStr">
        <is>
          <t>Emily Harris</t>
        </is>
      </c>
      <c r="E123" s="6" t="inlineStr">
        <is>
          <t>USA</t>
        </is>
      </c>
      <c r="F123" s="6" t="inlineStr">
        <is>
          <t>LED Desk Lamp</t>
        </is>
      </c>
      <c r="G123" s="6" t="inlineStr">
        <is>
          <t>Home &amp; Garden</t>
        </is>
      </c>
      <c r="H123" s="6" t="n">
        <v>1</v>
      </c>
      <c r="I123" s="8" t="n">
        <v>37.28</v>
      </c>
      <c r="J123" s="9" t="n">
        <v>0.15</v>
      </c>
      <c r="K123" s="8">
        <f>H123*I123*(1-J123)</f>
        <v/>
      </c>
      <c r="L123" s="6" t="inlineStr">
        <is>
          <t>PayPal</t>
        </is>
      </c>
    </row>
    <row r="124">
      <c r="A124" s="2" t="inlineStr">
        <is>
          <t>ORD-00123</t>
        </is>
      </c>
      <c r="B124" s="3" t="n">
        <v>45098</v>
      </c>
      <c r="C124" s="2" t="inlineStr">
        <is>
          <t>CUST-0023</t>
        </is>
      </c>
      <c r="D124" s="2" t="inlineStr">
        <is>
          <t>Lucas Kaya</t>
        </is>
      </c>
      <c r="E124" s="2" t="inlineStr">
        <is>
          <t>UK</t>
        </is>
      </c>
      <c r="F124" s="2" t="inlineStr">
        <is>
          <t>Gym Bag</t>
        </is>
      </c>
      <c r="G124" s="2" t="inlineStr">
        <is>
          <t>Sports</t>
        </is>
      </c>
      <c r="H124" s="2" t="n">
        <v>4</v>
      </c>
      <c r="I124" s="4" t="n">
        <v>44.16</v>
      </c>
      <c r="J124" s="5" t="n">
        <v>0.05</v>
      </c>
      <c r="K124" s="4">
        <f>H124*I124*(1-J124)</f>
        <v/>
      </c>
      <c r="L124" s="2" t="inlineStr">
        <is>
          <t>Credit Card</t>
        </is>
      </c>
    </row>
    <row r="125">
      <c r="A125" s="6" t="inlineStr">
        <is>
          <t>ORD-00124</t>
        </is>
      </c>
      <c r="B125" s="7" t="n">
        <v>45104</v>
      </c>
      <c r="C125" s="6" t="inlineStr">
        <is>
          <t>CUST-0143</t>
        </is>
      </c>
      <c r="D125" s="6" t="inlineStr">
        <is>
          <t>Penelope Yilmaz</t>
        </is>
      </c>
      <c r="E125" s="6" t="inlineStr">
        <is>
          <t>UK</t>
        </is>
      </c>
      <c r="F125" s="6" t="inlineStr">
        <is>
          <t>Laptop Stand</t>
        </is>
      </c>
      <c r="G125" s="6" t="inlineStr">
        <is>
          <t>Electronics</t>
        </is>
      </c>
      <c r="H125" s="6" t="n">
        <v>1</v>
      </c>
      <c r="I125" s="8" t="n">
        <v>24.2</v>
      </c>
      <c r="J125" s="9" t="n">
        <v>0.05</v>
      </c>
      <c r="K125" s="8">
        <f>H125*I125*(1-J125)</f>
        <v/>
      </c>
      <c r="L125" s="6" t="inlineStr">
        <is>
          <t>Credit Card</t>
        </is>
      </c>
    </row>
    <row r="126">
      <c r="A126" s="2" t="inlineStr">
        <is>
          <t>ORD-00125</t>
        </is>
      </c>
      <c r="B126" s="3" t="n">
        <v>45106</v>
      </c>
      <c r="C126" s="2" t="inlineStr">
        <is>
          <t>CUST-0126</t>
        </is>
      </c>
      <c r="D126" s="2" t="inlineStr">
        <is>
          <t>Alexander Wilson</t>
        </is>
      </c>
      <c r="E126" s="2" t="inlineStr">
        <is>
          <t>France</t>
        </is>
      </c>
      <c r="F126" s="2" t="inlineStr">
        <is>
          <t>Wireless Headphones</t>
        </is>
      </c>
      <c r="G126" s="2" t="inlineStr">
        <is>
          <t>Electronics</t>
        </is>
      </c>
      <c r="H126" s="2" t="n">
        <v>1</v>
      </c>
      <c r="I126" s="4" t="n">
        <v>68.59999999999999</v>
      </c>
      <c r="J126" s="5" t="n">
        <v>0.05</v>
      </c>
      <c r="K126" s="4">
        <f>H126*I126*(1-J126)</f>
        <v/>
      </c>
      <c r="L126" s="2" t="inlineStr">
        <is>
          <t>Credit Card</t>
        </is>
      </c>
    </row>
    <row r="127">
      <c r="A127" s="6" t="inlineStr">
        <is>
          <t>ORD-00126</t>
        </is>
      </c>
      <c r="B127" s="7" t="n">
        <v>45106</v>
      </c>
      <c r="C127" s="6" t="inlineStr">
        <is>
          <t>CUST-0127</t>
        </is>
      </c>
      <c r="D127" s="6" t="inlineStr">
        <is>
          <t>Sophie Lefebvre</t>
        </is>
      </c>
      <c r="E127" s="6" t="inlineStr">
        <is>
          <t>Germany</t>
        </is>
      </c>
      <c r="F127" s="6" t="inlineStr">
        <is>
          <t>Denim Jeans</t>
        </is>
      </c>
      <c r="G127" s="6" t="inlineStr">
        <is>
          <t>Clothing</t>
        </is>
      </c>
      <c r="H127" s="6" t="n">
        <v>4</v>
      </c>
      <c r="I127" s="8" t="n">
        <v>74.01000000000001</v>
      </c>
      <c r="J127" s="9" t="n">
        <v>0.05</v>
      </c>
      <c r="K127" s="8">
        <f>H127*I127*(1-J127)</f>
        <v/>
      </c>
      <c r="L127" s="6" t="inlineStr">
        <is>
          <t>Credit Card</t>
        </is>
      </c>
    </row>
    <row r="128">
      <c r="A128" s="2" t="inlineStr">
        <is>
          <t>ORD-00127</t>
        </is>
      </c>
      <c r="B128" s="3" t="n">
        <v>45107</v>
      </c>
      <c r="C128" s="2" t="inlineStr">
        <is>
          <t>CUST-0010</t>
        </is>
      </c>
      <c r="D128" s="2" t="inlineStr">
        <is>
          <t>James Wilson</t>
        </is>
      </c>
      <c r="E128" s="2" t="inlineStr">
        <is>
          <t>France</t>
        </is>
      </c>
      <c r="F128" s="2" t="inlineStr">
        <is>
          <t>Self-Help Guide</t>
        </is>
      </c>
      <c r="G128" s="2" t="inlineStr">
        <is>
          <t>Books</t>
        </is>
      </c>
      <c r="H128" s="2" t="n">
        <v>1</v>
      </c>
      <c r="I128" s="4" t="n">
        <v>22.45</v>
      </c>
      <c r="J128" s="5" t="n">
        <v>0.1</v>
      </c>
      <c r="K128" s="4">
        <f>H128*I128*(1-J128)</f>
        <v/>
      </c>
      <c r="L128" s="2" t="inlineStr">
        <is>
          <t>Bank Transfer</t>
        </is>
      </c>
    </row>
    <row r="129">
      <c r="A129" s="6" t="inlineStr">
        <is>
          <t>ORD-00128</t>
        </is>
      </c>
      <c r="B129" s="7" t="n">
        <v>45108</v>
      </c>
      <c r="C129" s="6" t="inlineStr">
        <is>
          <t>CUST-0127</t>
        </is>
      </c>
      <c r="D129" s="6" t="inlineStr">
        <is>
          <t>Sophie Lefebvre</t>
        </is>
      </c>
      <c r="E129" s="6" t="inlineStr">
        <is>
          <t>Germany</t>
        </is>
      </c>
      <c r="F129" s="6" t="inlineStr">
        <is>
          <t>Wool Scarf</t>
        </is>
      </c>
      <c r="G129" s="6" t="inlineStr">
        <is>
          <t>Clothing</t>
        </is>
      </c>
      <c r="H129" s="6" t="n">
        <v>2</v>
      </c>
      <c r="I129" s="8" t="n">
        <v>38.99</v>
      </c>
      <c r="J129" s="9" t="n">
        <v>0.2</v>
      </c>
      <c r="K129" s="8">
        <f>H129*I129*(1-J129)</f>
        <v/>
      </c>
      <c r="L129" s="6" t="inlineStr">
        <is>
          <t>PayPal</t>
        </is>
      </c>
    </row>
    <row r="130">
      <c r="A130" s="2" t="inlineStr">
        <is>
          <t>ORD-00129</t>
        </is>
      </c>
      <c r="B130" s="3" t="n">
        <v>45108</v>
      </c>
      <c r="C130" s="2" t="inlineStr">
        <is>
          <t>CUST-0149</t>
        </is>
      </c>
      <c r="D130" s="2" t="inlineStr">
        <is>
          <t>Sophia Martin</t>
        </is>
      </c>
      <c r="E130" s="2" t="inlineStr">
        <is>
          <t>USA</t>
        </is>
      </c>
      <c r="F130" s="2" t="inlineStr">
        <is>
          <t>USB-C Hub</t>
        </is>
      </c>
      <c r="G130" s="2" t="inlineStr">
        <is>
          <t>Electronics</t>
        </is>
      </c>
      <c r="H130" s="2" t="n">
        <v>2</v>
      </c>
      <c r="I130" s="4" t="n">
        <v>28.61</v>
      </c>
      <c r="J130" s="5" t="n">
        <v>0.1</v>
      </c>
      <c r="K130" s="4">
        <f>H130*I130*(1-J130)</f>
        <v/>
      </c>
      <c r="L130" s="2" t="inlineStr">
        <is>
          <t>Credit Card</t>
        </is>
      </c>
    </row>
    <row r="131">
      <c r="A131" s="6" t="inlineStr">
        <is>
          <t>ORD-00130</t>
        </is>
      </c>
      <c r="B131" s="7" t="n">
        <v>45109</v>
      </c>
      <c r="C131" s="6" t="inlineStr">
        <is>
          <t>CUST-0129</t>
        </is>
      </c>
      <c r="D131" s="6" t="inlineStr">
        <is>
          <t>William Martinez</t>
        </is>
      </c>
      <c r="E131" s="6" t="inlineStr">
        <is>
          <t>Germany</t>
        </is>
      </c>
      <c r="F131" s="6" t="inlineStr">
        <is>
          <t>Wall Clock</t>
        </is>
      </c>
      <c r="G131" s="6" t="inlineStr">
        <is>
          <t>Home &amp; Garden</t>
        </is>
      </c>
      <c r="H131" s="6" t="n">
        <v>1</v>
      </c>
      <c r="I131" s="8" t="n">
        <v>29.66</v>
      </c>
      <c r="J131" s="9" t="n">
        <v>0</v>
      </c>
      <c r="K131" s="8">
        <f>H131*I131*(1-J131)</f>
        <v/>
      </c>
      <c r="L131" s="6" t="inlineStr">
        <is>
          <t>Credit Card</t>
        </is>
      </c>
    </row>
    <row r="132">
      <c r="A132" s="2" t="inlineStr">
        <is>
          <t>ORD-00131</t>
        </is>
      </c>
      <c r="B132" s="3" t="n">
        <v>45109</v>
      </c>
      <c r="C132" s="2" t="inlineStr">
        <is>
          <t>CUST-0065</t>
        </is>
      </c>
      <c r="D132" s="2" t="inlineStr">
        <is>
          <t>William Taylor</t>
        </is>
      </c>
      <c r="E132" s="2" t="inlineStr">
        <is>
          <t>France</t>
        </is>
      </c>
      <c r="F132" s="2" t="inlineStr">
        <is>
          <t>Throw Pillow</t>
        </is>
      </c>
      <c r="G132" s="2" t="inlineStr">
        <is>
          <t>Home &amp; Garden</t>
        </is>
      </c>
      <c r="H132" s="2" t="n">
        <v>4</v>
      </c>
      <c r="I132" s="4" t="n">
        <v>31.42</v>
      </c>
      <c r="J132" s="5" t="n">
        <v>0.05</v>
      </c>
      <c r="K132" s="4">
        <f>H132*I132*(1-J132)</f>
        <v/>
      </c>
      <c r="L132" s="2" t="inlineStr">
        <is>
          <t>Credit Card</t>
        </is>
      </c>
    </row>
    <row r="133">
      <c r="A133" s="6" t="inlineStr">
        <is>
          <t>ORD-00132</t>
        </is>
      </c>
      <c r="B133" s="7" t="n">
        <v>45110</v>
      </c>
      <c r="C133" s="6" t="inlineStr">
        <is>
          <t>CUST-0028</t>
        </is>
      </c>
      <c r="D133" s="6" t="inlineStr">
        <is>
          <t>Harper Chen</t>
        </is>
      </c>
      <c r="E133" s="6" t="inlineStr">
        <is>
          <t>France</t>
        </is>
      </c>
      <c r="F133" s="6" t="inlineStr">
        <is>
          <t>Cooking Masterclass</t>
        </is>
      </c>
      <c r="G133" s="6" t="inlineStr">
        <is>
          <t>Books</t>
        </is>
      </c>
      <c r="H133" s="6" t="n">
        <v>1</v>
      </c>
      <c r="I133" s="8" t="n">
        <v>27.97</v>
      </c>
      <c r="J133" s="9" t="n">
        <v>0.05</v>
      </c>
      <c r="K133" s="8">
        <f>H133*I133*(1-J133)</f>
        <v/>
      </c>
      <c r="L133" s="6" t="inlineStr">
        <is>
          <t>PayPal</t>
        </is>
      </c>
    </row>
    <row r="134">
      <c r="A134" s="2" t="inlineStr">
        <is>
          <t>ORD-00133</t>
        </is>
      </c>
      <c r="B134" s="3" t="n">
        <v>45112</v>
      </c>
      <c r="C134" s="2" t="inlineStr">
        <is>
          <t>CUST-0043</t>
        </is>
      </c>
      <c r="D134" s="2" t="inlineStr">
        <is>
          <t>Daniel Mueller</t>
        </is>
      </c>
      <c r="E134" s="2" t="inlineStr">
        <is>
          <t>Germany</t>
        </is>
      </c>
      <c r="F134" s="2" t="inlineStr">
        <is>
          <t>Yoga Mat</t>
        </is>
      </c>
      <c r="G134" s="2" t="inlineStr">
        <is>
          <t>Sports</t>
        </is>
      </c>
      <c r="H134" s="2" t="n">
        <v>2</v>
      </c>
      <c r="I134" s="4" t="n">
        <v>32.32</v>
      </c>
      <c r="J134" s="5" t="n">
        <v>0</v>
      </c>
      <c r="K134" s="4">
        <f>H134*I134*(1-J134)</f>
        <v/>
      </c>
      <c r="L134" s="2" t="inlineStr">
        <is>
          <t>Credit Card</t>
        </is>
      </c>
    </row>
    <row r="135">
      <c r="A135" s="6" t="inlineStr">
        <is>
          <t>ORD-00134</t>
        </is>
      </c>
      <c r="B135" s="7" t="n">
        <v>45113</v>
      </c>
      <c r="C135" s="6" t="inlineStr">
        <is>
          <t>CUST-0131</t>
        </is>
      </c>
      <c r="D135" s="6" t="inlineStr">
        <is>
          <t>Scarlett Rodriguez</t>
        </is>
      </c>
      <c r="E135" s="6" t="inlineStr">
        <is>
          <t>USA</t>
        </is>
      </c>
      <c r="F135" s="6" t="inlineStr">
        <is>
          <t>Leather Belt</t>
        </is>
      </c>
      <c r="G135" s="6" t="inlineStr">
        <is>
          <t>Clothing</t>
        </is>
      </c>
      <c r="H135" s="6" t="n">
        <v>4</v>
      </c>
      <c r="I135" s="8" t="n">
        <v>45.56</v>
      </c>
      <c r="J135" s="9" t="n">
        <v>0.05</v>
      </c>
      <c r="K135" s="8">
        <f>H135*I135*(1-J135)</f>
        <v/>
      </c>
      <c r="L135" s="6" t="inlineStr">
        <is>
          <t>Credit Card</t>
        </is>
      </c>
    </row>
    <row r="136">
      <c r="A136" s="2" t="inlineStr">
        <is>
          <t>ORD-00135</t>
        </is>
      </c>
      <c r="B136" s="3" t="n">
        <v>45114</v>
      </c>
      <c r="C136" s="2" t="inlineStr">
        <is>
          <t>CUST-0086</t>
        </is>
      </c>
      <c r="D136" s="2" t="inlineStr">
        <is>
          <t>Sophie Miller</t>
        </is>
      </c>
      <c r="E136" s="2" t="inlineStr">
        <is>
          <t>USA</t>
        </is>
      </c>
      <c r="F136" s="2" t="inlineStr">
        <is>
          <t>Resistance Bands</t>
        </is>
      </c>
      <c r="G136" s="2" t="inlineStr">
        <is>
          <t>Sports</t>
        </is>
      </c>
      <c r="H136" s="2" t="n">
        <v>3</v>
      </c>
      <c r="I136" s="4" t="n">
        <v>17.1</v>
      </c>
      <c r="J136" s="5" t="n">
        <v>0</v>
      </c>
      <c r="K136" s="4">
        <f>H136*I136*(1-J136)</f>
        <v/>
      </c>
      <c r="L136" s="2" t="inlineStr">
        <is>
          <t>PayPal</t>
        </is>
      </c>
    </row>
    <row r="137">
      <c r="A137" s="6" t="inlineStr">
        <is>
          <t>ORD-00136</t>
        </is>
      </c>
      <c r="B137" s="7" t="n">
        <v>45115</v>
      </c>
      <c r="C137" s="6" t="inlineStr">
        <is>
          <t>CUST-0134</t>
        </is>
      </c>
      <c r="D137" s="6" t="inlineStr">
        <is>
          <t>Oliver Yilmaz</t>
        </is>
      </c>
      <c r="E137" s="6" t="inlineStr">
        <is>
          <t>Turkey</t>
        </is>
      </c>
      <c r="F137" s="6" t="inlineStr">
        <is>
          <t>USB-C Hub</t>
        </is>
      </c>
      <c r="G137" s="6" t="inlineStr">
        <is>
          <t>Electronics</t>
        </is>
      </c>
      <c r="H137" s="6" t="n">
        <v>2</v>
      </c>
      <c r="I137" s="8" t="n">
        <v>39.55</v>
      </c>
      <c r="J137" s="9" t="n">
        <v>0</v>
      </c>
      <c r="K137" s="8">
        <f>H137*I137*(1-J137)</f>
        <v/>
      </c>
      <c r="L137" s="6" t="inlineStr">
        <is>
          <t>Credit Card</t>
        </is>
      </c>
    </row>
    <row r="138">
      <c r="A138" s="2" t="inlineStr">
        <is>
          <t>ORD-00137</t>
        </is>
      </c>
      <c r="B138" s="3" t="n">
        <v>45118</v>
      </c>
      <c r="C138" s="2" t="inlineStr">
        <is>
          <t>CUST-0128</t>
        </is>
      </c>
      <c r="D138" s="2" t="inlineStr">
        <is>
          <t>Sophia Jones</t>
        </is>
      </c>
      <c r="E138" s="2" t="inlineStr">
        <is>
          <t>Canada</t>
        </is>
      </c>
      <c r="F138" s="2" t="inlineStr">
        <is>
          <t>Water Bottle</t>
        </is>
      </c>
      <c r="G138" s="2" t="inlineStr">
        <is>
          <t>Sports</t>
        </is>
      </c>
      <c r="H138" s="2" t="n">
        <v>2</v>
      </c>
      <c r="I138" s="4" t="n">
        <v>28.7</v>
      </c>
      <c r="J138" s="5" t="n">
        <v>0.15</v>
      </c>
      <c r="K138" s="4">
        <f>H138*I138*(1-J138)</f>
        <v/>
      </c>
      <c r="L138" s="2" t="inlineStr">
        <is>
          <t>PayPal</t>
        </is>
      </c>
    </row>
    <row r="139">
      <c r="A139" s="6" t="inlineStr">
        <is>
          <t>ORD-00138</t>
        </is>
      </c>
      <c r="B139" s="7" t="n">
        <v>45120</v>
      </c>
      <c r="C139" s="6" t="inlineStr">
        <is>
          <t>CUST-0062</t>
        </is>
      </c>
      <c r="D139" s="6" t="inlineStr">
        <is>
          <t>Mehmet Weber</t>
        </is>
      </c>
      <c r="E139" s="6" t="inlineStr">
        <is>
          <t>USA</t>
        </is>
      </c>
      <c r="F139" s="6" t="inlineStr">
        <is>
          <t>Plant Pot Set</t>
        </is>
      </c>
      <c r="G139" s="6" t="inlineStr">
        <is>
          <t>Home &amp; Garden</t>
        </is>
      </c>
      <c r="H139" s="6" t="n">
        <v>2</v>
      </c>
      <c r="I139" s="8" t="n">
        <v>36.39</v>
      </c>
      <c r="J139" s="9" t="n">
        <v>0</v>
      </c>
      <c r="K139" s="8">
        <f>H139*I139*(1-J139)</f>
        <v/>
      </c>
      <c r="L139" s="6" t="inlineStr">
        <is>
          <t>Credit Card</t>
        </is>
      </c>
    </row>
    <row r="140">
      <c r="A140" s="2" t="inlineStr">
        <is>
          <t>ORD-00139</t>
        </is>
      </c>
      <c r="B140" s="3" t="n">
        <v>45121</v>
      </c>
      <c r="C140" s="2" t="inlineStr">
        <is>
          <t>CUST-0066</t>
        </is>
      </c>
      <c r="D140" s="2" t="inlineStr">
        <is>
          <t>Aria Kim</t>
        </is>
      </c>
      <c r="E140" s="2" t="inlineStr">
        <is>
          <t>France</t>
        </is>
      </c>
      <c r="F140" s="2" t="inlineStr">
        <is>
          <t>Power Bank</t>
        </is>
      </c>
      <c r="G140" s="2" t="inlineStr">
        <is>
          <t>Electronics</t>
        </is>
      </c>
      <c r="H140" s="2" t="n">
        <v>4</v>
      </c>
      <c r="I140" s="4" t="n">
        <v>20.06</v>
      </c>
      <c r="J140" s="5" t="n">
        <v>0.05</v>
      </c>
      <c r="K140" s="4">
        <f>H140*I140*(1-J140)</f>
        <v/>
      </c>
      <c r="L140" s="2" t="inlineStr">
        <is>
          <t>PayPal</t>
        </is>
      </c>
    </row>
    <row r="141">
      <c r="A141" s="6" t="inlineStr">
        <is>
          <t>ORD-00140</t>
        </is>
      </c>
      <c r="B141" s="7" t="n">
        <v>45124</v>
      </c>
      <c r="C141" s="6" t="inlineStr">
        <is>
          <t>CUST-0045</t>
        </is>
      </c>
      <c r="D141" s="6" t="inlineStr">
        <is>
          <t>Sophie Smith</t>
        </is>
      </c>
      <c r="E141" s="6" t="inlineStr">
        <is>
          <t>France</t>
        </is>
      </c>
      <c r="F141" s="6" t="inlineStr">
        <is>
          <t>Wall Clock</t>
        </is>
      </c>
      <c r="G141" s="6" t="inlineStr">
        <is>
          <t>Home &amp; Garden</t>
        </is>
      </c>
      <c r="H141" s="6" t="n">
        <v>3</v>
      </c>
      <c r="I141" s="8" t="n">
        <v>46.9</v>
      </c>
      <c r="J141" s="9" t="n">
        <v>0.05</v>
      </c>
      <c r="K141" s="8">
        <f>H141*I141*(1-J141)</f>
        <v/>
      </c>
      <c r="L141" s="6" t="inlineStr">
        <is>
          <t>Credit Card</t>
        </is>
      </c>
    </row>
    <row r="142">
      <c r="A142" s="2" t="inlineStr">
        <is>
          <t>ORD-00141</t>
        </is>
      </c>
      <c r="B142" s="3" t="n">
        <v>45128</v>
      </c>
      <c r="C142" s="2" t="inlineStr">
        <is>
          <t>CUST-0050</t>
        </is>
      </c>
      <c r="D142" s="2" t="inlineStr">
        <is>
          <t>David Martin</t>
        </is>
      </c>
      <c r="E142" s="2" t="inlineStr">
        <is>
          <t>Canada</t>
        </is>
      </c>
      <c r="F142" s="2" t="inlineStr">
        <is>
          <t>Denim Jeans</t>
        </is>
      </c>
      <c r="G142" s="2" t="inlineStr">
        <is>
          <t>Clothing</t>
        </is>
      </c>
      <c r="H142" s="2" t="n">
        <v>1</v>
      </c>
      <c r="I142" s="4" t="n">
        <v>79.33</v>
      </c>
      <c r="J142" s="5" t="n">
        <v>0.2</v>
      </c>
      <c r="K142" s="4">
        <f>H142*I142*(1-J142)</f>
        <v/>
      </c>
      <c r="L142" s="2" t="inlineStr">
        <is>
          <t>PayPal</t>
        </is>
      </c>
    </row>
    <row r="143">
      <c r="A143" s="6" t="inlineStr">
        <is>
          <t>ORD-00142</t>
        </is>
      </c>
      <c r="B143" s="7" t="n">
        <v>45129</v>
      </c>
      <c r="C143" s="6" t="inlineStr">
        <is>
          <t>CUST-0103</t>
        </is>
      </c>
      <c r="D143" s="6" t="inlineStr">
        <is>
          <t>Liam Roy</t>
        </is>
      </c>
      <c r="E143" s="6" t="inlineStr">
        <is>
          <t>USA</t>
        </is>
      </c>
      <c r="F143" s="6" t="inlineStr">
        <is>
          <t>Leather Belt</t>
        </is>
      </c>
      <c r="G143" s="6" t="inlineStr">
        <is>
          <t>Clothing</t>
        </is>
      </c>
      <c r="H143" s="6" t="n">
        <v>1</v>
      </c>
      <c r="I143" s="8" t="n">
        <v>53.12</v>
      </c>
      <c r="J143" s="9" t="n">
        <v>0.05</v>
      </c>
      <c r="K143" s="8">
        <f>H143*I143*(1-J143)</f>
        <v/>
      </c>
      <c r="L143" s="6" t="inlineStr">
        <is>
          <t>Bank Transfer</t>
        </is>
      </c>
    </row>
    <row r="144">
      <c r="A144" s="2" t="inlineStr">
        <is>
          <t>ORD-00143</t>
        </is>
      </c>
      <c r="B144" s="3" t="n">
        <v>45133</v>
      </c>
      <c r="C144" s="2" t="inlineStr">
        <is>
          <t>CUST-0138</t>
        </is>
      </c>
      <c r="D144" s="2" t="inlineStr">
        <is>
          <t>Anna Clark</t>
        </is>
      </c>
      <c r="E144" s="2" t="inlineStr">
        <is>
          <t>Turkey</t>
        </is>
      </c>
      <c r="F144" s="2" t="inlineStr">
        <is>
          <t>Wool Scarf</t>
        </is>
      </c>
      <c r="G144" s="2" t="inlineStr">
        <is>
          <t>Clothing</t>
        </is>
      </c>
      <c r="H144" s="2" t="n">
        <v>1</v>
      </c>
      <c r="I144" s="4" t="n">
        <v>37.39</v>
      </c>
      <c r="J144" s="5" t="n">
        <v>0.1</v>
      </c>
      <c r="K144" s="4">
        <f>H144*I144*(1-J144)</f>
        <v/>
      </c>
      <c r="L144" s="2" t="inlineStr">
        <is>
          <t>PayPal</t>
        </is>
      </c>
    </row>
    <row r="145">
      <c r="A145" s="6" t="inlineStr">
        <is>
          <t>ORD-00144</t>
        </is>
      </c>
      <c r="B145" s="7" t="n">
        <v>45133</v>
      </c>
      <c r="C145" s="6" t="inlineStr">
        <is>
          <t>CUST-0092</t>
        </is>
      </c>
      <c r="D145" s="6" t="inlineStr">
        <is>
          <t>Penelope Thompson</t>
        </is>
      </c>
      <c r="E145" s="6" t="inlineStr">
        <is>
          <t>UK</t>
        </is>
      </c>
      <c r="F145" s="6" t="inlineStr">
        <is>
          <t>Water Bottle</t>
        </is>
      </c>
      <c r="G145" s="6" t="inlineStr">
        <is>
          <t>Sports</t>
        </is>
      </c>
      <c r="H145" s="6" t="n">
        <v>2</v>
      </c>
      <c r="I145" s="8" t="n">
        <v>15.72</v>
      </c>
      <c r="J145" s="9" t="n">
        <v>0.2</v>
      </c>
      <c r="K145" s="8">
        <f>H145*I145*(1-J145)</f>
        <v/>
      </c>
      <c r="L145" s="6" t="inlineStr">
        <is>
          <t>PayPal</t>
        </is>
      </c>
    </row>
    <row r="146">
      <c r="A146" s="2" t="inlineStr">
        <is>
          <t>ORD-00145</t>
        </is>
      </c>
      <c r="B146" s="3" t="n">
        <v>45135</v>
      </c>
      <c r="C146" s="2" t="inlineStr">
        <is>
          <t>CUST-0106</t>
        </is>
      </c>
      <c r="D146" s="2" t="inlineStr">
        <is>
          <t>Emily Harris</t>
        </is>
      </c>
      <c r="E146" s="2" t="inlineStr">
        <is>
          <t>USA</t>
        </is>
      </c>
      <c r="F146" s="2" t="inlineStr">
        <is>
          <t>Throw Pillow</t>
        </is>
      </c>
      <c r="G146" s="2" t="inlineStr">
        <is>
          <t>Home &amp; Garden</t>
        </is>
      </c>
      <c r="H146" s="2" t="n">
        <v>4</v>
      </c>
      <c r="I146" s="4" t="n">
        <v>33.4</v>
      </c>
      <c r="J146" s="5" t="n">
        <v>0.1</v>
      </c>
      <c r="K146" s="4">
        <f>H146*I146*(1-J146)</f>
        <v/>
      </c>
      <c r="L146" s="2" t="inlineStr">
        <is>
          <t>Credit Card</t>
        </is>
      </c>
    </row>
    <row r="147">
      <c r="A147" s="6" t="inlineStr">
        <is>
          <t>ORD-00146</t>
        </is>
      </c>
      <c r="B147" s="7" t="n">
        <v>45138</v>
      </c>
      <c r="C147" s="6" t="inlineStr">
        <is>
          <t>CUST-0016</t>
        </is>
      </c>
      <c r="D147" s="6" t="inlineStr">
        <is>
          <t>Daniel Garcia</t>
        </is>
      </c>
      <c r="E147" s="6" t="inlineStr">
        <is>
          <t>Germany</t>
        </is>
      </c>
      <c r="F147" s="6" t="inlineStr">
        <is>
          <t>Throw Pillow</t>
        </is>
      </c>
      <c r="G147" s="6" t="inlineStr">
        <is>
          <t>Home &amp; Garden</t>
        </is>
      </c>
      <c r="H147" s="6" t="n">
        <v>2</v>
      </c>
      <c r="I147" s="8" t="n">
        <v>20.61</v>
      </c>
      <c r="J147" s="9" t="n">
        <v>0</v>
      </c>
      <c r="K147" s="8">
        <f>H147*I147*(1-J147)</f>
        <v/>
      </c>
      <c r="L147" s="6" t="inlineStr">
        <is>
          <t>PayPal</t>
        </is>
      </c>
    </row>
    <row r="148">
      <c r="A148" s="2" t="inlineStr">
        <is>
          <t>ORD-00147</t>
        </is>
      </c>
      <c r="B148" s="3" t="n">
        <v>45138</v>
      </c>
      <c r="C148" s="2" t="inlineStr">
        <is>
          <t>CUST-0044</t>
        </is>
      </c>
      <c r="D148" s="2" t="inlineStr">
        <is>
          <t>Penelope Demir</t>
        </is>
      </c>
      <c r="E148" s="2" t="inlineStr">
        <is>
          <t>USA</t>
        </is>
      </c>
      <c r="F148" s="2" t="inlineStr">
        <is>
          <t>Scented Candle</t>
        </is>
      </c>
      <c r="G148" s="2" t="inlineStr">
        <is>
          <t>Home &amp; Garden</t>
        </is>
      </c>
      <c r="H148" s="2" t="n">
        <v>1</v>
      </c>
      <c r="I148" s="4" t="n">
        <v>17.09</v>
      </c>
      <c r="J148" s="5" t="n">
        <v>0.15</v>
      </c>
      <c r="K148" s="4">
        <f>H148*I148*(1-J148)</f>
        <v/>
      </c>
      <c r="L148" s="2" t="inlineStr">
        <is>
          <t>Credit Card</t>
        </is>
      </c>
    </row>
    <row r="149">
      <c r="A149" s="6" t="inlineStr">
        <is>
          <t>ORD-00148</t>
        </is>
      </c>
      <c r="B149" s="7" t="n">
        <v>45138</v>
      </c>
      <c r="C149" s="6" t="inlineStr">
        <is>
          <t>CUST-0059</t>
        </is>
      </c>
      <c r="D149" s="6" t="inlineStr">
        <is>
          <t>Ahmed Garcia</t>
        </is>
      </c>
      <c r="E149" s="6" t="inlineStr">
        <is>
          <t>USA</t>
        </is>
      </c>
      <c r="F149" s="6" t="inlineStr">
        <is>
          <t>Bluetooth Speaker</t>
        </is>
      </c>
      <c r="G149" s="6" t="inlineStr">
        <is>
          <t>Electronics</t>
        </is>
      </c>
      <c r="H149" s="6" t="n">
        <v>1</v>
      </c>
      <c r="I149" s="8" t="n">
        <v>80.17</v>
      </c>
      <c r="J149" s="9" t="n">
        <v>0.1</v>
      </c>
      <c r="K149" s="8">
        <f>H149*I149*(1-J149)</f>
        <v/>
      </c>
      <c r="L149" s="6" t="inlineStr">
        <is>
          <t>Credit Card</t>
        </is>
      </c>
    </row>
    <row r="150">
      <c r="A150" s="2" t="inlineStr">
        <is>
          <t>ORD-00149</t>
        </is>
      </c>
      <c r="B150" s="3" t="n">
        <v>45139</v>
      </c>
      <c r="C150" s="2" t="inlineStr">
        <is>
          <t>CUST-0116</t>
        </is>
      </c>
      <c r="D150" s="2" t="inlineStr">
        <is>
          <t>Claire Demir</t>
        </is>
      </c>
      <c r="E150" s="2" t="inlineStr">
        <is>
          <t>USA</t>
        </is>
      </c>
      <c r="F150" s="2" t="inlineStr">
        <is>
          <t>Running Shoes</t>
        </is>
      </c>
      <c r="G150" s="2" t="inlineStr">
        <is>
          <t>Clothing</t>
        </is>
      </c>
      <c r="H150" s="2" t="n">
        <v>1</v>
      </c>
      <c r="I150" s="4" t="n">
        <v>119.66</v>
      </c>
      <c r="J150" s="5" t="n">
        <v>0.15</v>
      </c>
      <c r="K150" s="4">
        <f>H150*I150*(1-J150)</f>
        <v/>
      </c>
      <c r="L150" s="2" t="inlineStr">
        <is>
          <t>Credit Card</t>
        </is>
      </c>
    </row>
    <row r="151">
      <c r="A151" s="6" t="inlineStr">
        <is>
          <t>ORD-00150</t>
        </is>
      </c>
      <c r="B151" s="7" t="n">
        <v>45142</v>
      </c>
      <c r="C151" s="6" t="inlineStr">
        <is>
          <t>CUST-0042</t>
        </is>
      </c>
      <c r="D151" s="6" t="inlineStr">
        <is>
          <t>Sarah Lefebvre</t>
        </is>
      </c>
      <c r="E151" s="6" t="inlineStr">
        <is>
          <t>Germany</t>
        </is>
      </c>
      <c r="F151" s="6" t="inlineStr">
        <is>
          <t>LED Desk Lamp</t>
        </is>
      </c>
      <c r="G151" s="6" t="inlineStr">
        <is>
          <t>Home &amp; Garden</t>
        </is>
      </c>
      <c r="H151" s="6" t="n">
        <v>1</v>
      </c>
      <c r="I151" s="8" t="n">
        <v>25.78</v>
      </c>
      <c r="J151" s="9" t="n">
        <v>0.05</v>
      </c>
      <c r="K151" s="8">
        <f>H151*I151*(1-J151)</f>
        <v/>
      </c>
      <c r="L151" s="6" t="inlineStr">
        <is>
          <t>Credit Card</t>
        </is>
      </c>
    </row>
    <row r="152">
      <c r="A152" s="2" t="inlineStr">
        <is>
          <t>ORD-00151</t>
        </is>
      </c>
      <c r="B152" s="3" t="n">
        <v>45145</v>
      </c>
      <c r="C152" s="2" t="inlineStr">
        <is>
          <t>CUST-0085</t>
        </is>
      </c>
      <c r="D152" s="2" t="inlineStr">
        <is>
          <t>Noah Wilson</t>
        </is>
      </c>
      <c r="E152" s="2" t="inlineStr">
        <is>
          <t>Turkey</t>
        </is>
      </c>
      <c r="F152" s="2" t="inlineStr">
        <is>
          <t>Running Shoes</t>
        </is>
      </c>
      <c r="G152" s="2" t="inlineStr">
        <is>
          <t>Clothing</t>
        </is>
      </c>
      <c r="H152" s="2" t="n">
        <v>3</v>
      </c>
      <c r="I152" s="4" t="n">
        <v>75.28</v>
      </c>
      <c r="J152" s="5" t="n">
        <v>0.05</v>
      </c>
      <c r="K152" s="4">
        <f>H152*I152*(1-J152)</f>
        <v/>
      </c>
      <c r="L152" s="2" t="inlineStr">
        <is>
          <t>Bank Transfer</t>
        </is>
      </c>
    </row>
    <row r="153">
      <c r="A153" s="6" t="inlineStr">
        <is>
          <t>ORD-00152</t>
        </is>
      </c>
      <c r="B153" s="7" t="n">
        <v>45146</v>
      </c>
      <c r="C153" s="6" t="inlineStr">
        <is>
          <t>CUST-0017</t>
        </is>
      </c>
      <c r="D153" s="6" t="inlineStr">
        <is>
          <t>Jean Roy</t>
        </is>
      </c>
      <c r="E153" s="6" t="inlineStr">
        <is>
          <t>Turkey</t>
        </is>
      </c>
      <c r="F153" s="6" t="inlineStr">
        <is>
          <t>Running Shoes</t>
        </is>
      </c>
      <c r="G153" s="6" t="inlineStr">
        <is>
          <t>Clothing</t>
        </is>
      </c>
      <c r="H153" s="6" t="n">
        <v>2</v>
      </c>
      <c r="I153" s="8" t="n">
        <v>97.97</v>
      </c>
      <c r="J153" s="9" t="n">
        <v>0</v>
      </c>
      <c r="K153" s="8">
        <f>H153*I153*(1-J153)</f>
        <v/>
      </c>
      <c r="L153" s="6" t="inlineStr">
        <is>
          <t>Credit Card</t>
        </is>
      </c>
    </row>
    <row r="154">
      <c r="A154" s="2" t="inlineStr">
        <is>
          <t>ORD-00153</t>
        </is>
      </c>
      <c r="B154" s="3" t="n">
        <v>45146</v>
      </c>
      <c r="C154" s="2" t="inlineStr">
        <is>
          <t>CUST-0074</t>
        </is>
      </c>
      <c r="D154" s="2" t="inlineStr">
        <is>
          <t>Robert Stewart</t>
        </is>
      </c>
      <c r="E154" s="2" t="inlineStr">
        <is>
          <t>USA</t>
        </is>
      </c>
      <c r="F154" s="2" t="inlineStr">
        <is>
          <t>Fitness Tracker</t>
        </is>
      </c>
      <c r="G154" s="2" t="inlineStr">
        <is>
          <t>Sports</t>
        </is>
      </c>
      <c r="H154" s="2" t="n">
        <v>1</v>
      </c>
      <c r="I154" s="4" t="n">
        <v>40</v>
      </c>
      <c r="J154" s="5" t="n">
        <v>0</v>
      </c>
      <c r="K154" s="4">
        <f>H154*I154*(1-J154)</f>
        <v/>
      </c>
      <c r="L154" s="2" t="inlineStr">
        <is>
          <t>Credit Card</t>
        </is>
      </c>
    </row>
    <row r="155">
      <c r="A155" s="6" t="inlineStr">
        <is>
          <t>ORD-00154</t>
        </is>
      </c>
      <c r="B155" s="7" t="n">
        <v>45147</v>
      </c>
      <c r="C155" s="6" t="inlineStr">
        <is>
          <t>CUST-0150</t>
        </is>
      </c>
      <c r="D155" s="6" t="inlineStr">
        <is>
          <t>Alexander Williams</t>
        </is>
      </c>
      <c r="E155" s="6" t="inlineStr">
        <is>
          <t>USA</t>
        </is>
      </c>
      <c r="F155" s="6" t="inlineStr">
        <is>
          <t>Cotton T-Shirt</t>
        </is>
      </c>
      <c r="G155" s="6" t="inlineStr">
        <is>
          <t>Clothing</t>
        </is>
      </c>
      <c r="H155" s="6" t="n">
        <v>2</v>
      </c>
      <c r="I155" s="8" t="n">
        <v>20.62</v>
      </c>
      <c r="J155" s="9" t="n">
        <v>0.15</v>
      </c>
      <c r="K155" s="8">
        <f>H155*I155*(1-J155)</f>
        <v/>
      </c>
      <c r="L155" s="6" t="inlineStr">
        <is>
          <t>PayPal</t>
        </is>
      </c>
    </row>
    <row r="156">
      <c r="A156" s="2" t="inlineStr">
        <is>
          <t>ORD-00155</t>
        </is>
      </c>
      <c r="B156" s="3" t="n">
        <v>45149</v>
      </c>
      <c r="C156" s="2" t="inlineStr">
        <is>
          <t>CUST-0023</t>
        </is>
      </c>
      <c r="D156" s="2" t="inlineStr">
        <is>
          <t>Lucas Kaya</t>
        </is>
      </c>
      <c r="E156" s="2" t="inlineStr">
        <is>
          <t>UK</t>
        </is>
      </c>
      <c r="F156" s="2" t="inlineStr">
        <is>
          <t>Data Science Handbook</t>
        </is>
      </c>
      <c r="G156" s="2" t="inlineStr">
        <is>
          <t>Books</t>
        </is>
      </c>
      <c r="H156" s="2" t="n">
        <v>2</v>
      </c>
      <c r="I156" s="4" t="n">
        <v>53.8</v>
      </c>
      <c r="J156" s="5" t="n">
        <v>0</v>
      </c>
      <c r="K156" s="4">
        <f>H156*I156*(1-J156)</f>
        <v/>
      </c>
      <c r="L156" s="2" t="inlineStr">
        <is>
          <t>Bank Transfer</t>
        </is>
      </c>
    </row>
    <row r="157">
      <c r="A157" s="6" t="inlineStr">
        <is>
          <t>ORD-00156</t>
        </is>
      </c>
      <c r="B157" s="7" t="n">
        <v>45151</v>
      </c>
      <c r="C157" s="6" t="inlineStr">
        <is>
          <t>CUST-0148</t>
        </is>
      </c>
      <c r="D157" s="6" t="inlineStr">
        <is>
          <t>Pierre Clark</t>
        </is>
      </c>
      <c r="E157" s="6" t="inlineStr">
        <is>
          <t>Canada</t>
        </is>
      </c>
      <c r="F157" s="6" t="inlineStr">
        <is>
          <t>Fitness Tracker</t>
        </is>
      </c>
      <c r="G157" s="6" t="inlineStr">
        <is>
          <t>Sports</t>
        </is>
      </c>
      <c r="H157" s="6" t="n">
        <v>3</v>
      </c>
      <c r="I157" s="8" t="n">
        <v>47.73</v>
      </c>
      <c r="J157" s="9" t="n">
        <v>0.15</v>
      </c>
      <c r="K157" s="8">
        <f>H157*I157*(1-J157)</f>
        <v/>
      </c>
      <c r="L157" s="6" t="inlineStr">
        <is>
          <t>Credit Card</t>
        </is>
      </c>
    </row>
    <row r="158">
      <c r="A158" s="2" t="inlineStr">
        <is>
          <t>ORD-00157</t>
        </is>
      </c>
      <c r="B158" s="3" t="n">
        <v>45152</v>
      </c>
      <c r="C158" s="2" t="inlineStr">
        <is>
          <t>CUST-0035</t>
        </is>
      </c>
      <c r="D158" s="2" t="inlineStr">
        <is>
          <t>Claire Campbell</t>
        </is>
      </c>
      <c r="E158" s="2" t="inlineStr">
        <is>
          <t>USA</t>
        </is>
      </c>
      <c r="F158" s="2" t="inlineStr">
        <is>
          <t>Jump Rope</t>
        </is>
      </c>
      <c r="G158" s="2" t="inlineStr">
        <is>
          <t>Sports</t>
        </is>
      </c>
      <c r="H158" s="2" t="n">
        <v>2</v>
      </c>
      <c r="I158" s="4" t="n">
        <v>11.53</v>
      </c>
      <c r="J158" s="5" t="n">
        <v>0</v>
      </c>
      <c r="K158" s="4">
        <f>H158*I158*(1-J158)</f>
        <v/>
      </c>
      <c r="L158" s="2" t="inlineStr">
        <is>
          <t>Bank Transfer</t>
        </is>
      </c>
    </row>
    <row r="159">
      <c r="A159" s="6" t="inlineStr">
        <is>
          <t>ORD-00158</t>
        </is>
      </c>
      <c r="B159" s="7" t="n">
        <v>45152</v>
      </c>
      <c r="C159" s="6" t="inlineStr">
        <is>
          <t>CUST-0059</t>
        </is>
      </c>
      <c r="D159" s="6" t="inlineStr">
        <is>
          <t>Ahmed Garcia</t>
        </is>
      </c>
      <c r="E159" s="6" t="inlineStr">
        <is>
          <t>USA</t>
        </is>
      </c>
      <c r="F159" s="6" t="inlineStr">
        <is>
          <t>Fitness Tracker</t>
        </is>
      </c>
      <c r="G159" s="6" t="inlineStr">
        <is>
          <t>Sports</t>
        </is>
      </c>
      <c r="H159" s="6" t="n">
        <v>2</v>
      </c>
      <c r="I159" s="8" t="n">
        <v>77.76000000000001</v>
      </c>
      <c r="J159" s="9" t="n">
        <v>0</v>
      </c>
      <c r="K159" s="8">
        <f>H159*I159*(1-J159)</f>
        <v/>
      </c>
      <c r="L159" s="6" t="inlineStr">
        <is>
          <t>PayPal</t>
        </is>
      </c>
    </row>
    <row r="160">
      <c r="A160" s="2" t="inlineStr">
        <is>
          <t>ORD-00159</t>
        </is>
      </c>
      <c r="B160" s="3" t="n">
        <v>45153</v>
      </c>
      <c r="C160" s="2" t="inlineStr">
        <is>
          <t>CUST-0145</t>
        </is>
      </c>
      <c r="D160" s="2" t="inlineStr">
        <is>
          <t>Mason Schmidt</t>
        </is>
      </c>
      <c r="E160" s="2" t="inlineStr">
        <is>
          <t>UK</t>
        </is>
      </c>
      <c r="F160" s="2" t="inlineStr">
        <is>
          <t>Smart Watch Band</t>
        </is>
      </c>
      <c r="G160" s="2" t="inlineStr">
        <is>
          <t>Electronics</t>
        </is>
      </c>
      <c r="H160" s="2" t="n">
        <v>3</v>
      </c>
      <c r="I160" s="4" t="n">
        <v>16.08</v>
      </c>
      <c r="J160" s="5" t="n">
        <v>0</v>
      </c>
      <c r="K160" s="4">
        <f>H160*I160*(1-J160)</f>
        <v/>
      </c>
      <c r="L160" s="2" t="inlineStr">
        <is>
          <t>Bank Transfer</t>
        </is>
      </c>
    </row>
    <row r="161">
      <c r="A161" s="6" t="inlineStr">
        <is>
          <t>ORD-00160</t>
        </is>
      </c>
      <c r="B161" s="7" t="n">
        <v>45154</v>
      </c>
      <c r="C161" s="6" t="inlineStr">
        <is>
          <t>CUST-0137</t>
        </is>
      </c>
      <c r="D161" s="6" t="inlineStr">
        <is>
          <t>Mia Dupont</t>
        </is>
      </c>
      <c r="E161" s="6" t="inlineStr">
        <is>
          <t>USA</t>
        </is>
      </c>
      <c r="F161" s="6" t="inlineStr">
        <is>
          <t>LED Desk Lamp</t>
        </is>
      </c>
      <c r="G161" s="6" t="inlineStr">
        <is>
          <t>Home &amp; Garden</t>
        </is>
      </c>
      <c r="H161" s="6" t="n">
        <v>2</v>
      </c>
      <c r="I161" s="8" t="n">
        <v>56.72</v>
      </c>
      <c r="J161" s="9" t="n">
        <v>0.05</v>
      </c>
      <c r="K161" s="8">
        <f>H161*I161*(1-J161)</f>
        <v/>
      </c>
      <c r="L161" s="6" t="inlineStr">
        <is>
          <t>PayPal</t>
        </is>
      </c>
    </row>
    <row r="162">
      <c r="A162" s="2" t="inlineStr">
        <is>
          <t>ORD-00161</t>
        </is>
      </c>
      <c r="B162" s="3" t="n">
        <v>45155</v>
      </c>
      <c r="C162" s="2" t="inlineStr">
        <is>
          <t>CUST-0133</t>
        </is>
      </c>
      <c r="D162" s="2" t="inlineStr">
        <is>
          <t>Charlotte Singh</t>
        </is>
      </c>
      <c r="E162" s="2" t="inlineStr">
        <is>
          <t>USA</t>
        </is>
      </c>
      <c r="F162" s="2" t="inlineStr">
        <is>
          <t>Running Shoes</t>
        </is>
      </c>
      <c r="G162" s="2" t="inlineStr">
        <is>
          <t>Clothing</t>
        </is>
      </c>
      <c r="H162" s="2" t="n">
        <v>2</v>
      </c>
      <c r="I162" s="4" t="n">
        <v>94.06999999999999</v>
      </c>
      <c r="J162" s="5" t="n">
        <v>0.1</v>
      </c>
      <c r="K162" s="4">
        <f>H162*I162*(1-J162)</f>
        <v/>
      </c>
      <c r="L162" s="2" t="inlineStr">
        <is>
          <t>Credit Card</t>
        </is>
      </c>
    </row>
    <row r="163">
      <c r="A163" s="6" t="inlineStr">
        <is>
          <t>ORD-00162</t>
        </is>
      </c>
      <c r="B163" s="7" t="n">
        <v>45156</v>
      </c>
      <c r="C163" s="6" t="inlineStr">
        <is>
          <t>CUST-0018</t>
        </is>
      </c>
      <c r="D163" s="6" t="inlineStr">
        <is>
          <t>Camila Bernard</t>
        </is>
      </c>
      <c r="E163" s="6" t="inlineStr">
        <is>
          <t>USA</t>
        </is>
      </c>
      <c r="F163" s="6" t="inlineStr">
        <is>
          <t>Gym Bag</t>
        </is>
      </c>
      <c r="G163" s="6" t="inlineStr">
        <is>
          <t>Sports</t>
        </is>
      </c>
      <c r="H163" s="6" t="n">
        <v>1</v>
      </c>
      <c r="I163" s="8" t="n">
        <v>26.2</v>
      </c>
      <c r="J163" s="9" t="n">
        <v>0</v>
      </c>
      <c r="K163" s="8">
        <f>H163*I163*(1-J163)</f>
        <v/>
      </c>
      <c r="L163" s="6" t="inlineStr">
        <is>
          <t>PayPal</t>
        </is>
      </c>
    </row>
    <row r="164">
      <c r="A164" s="2" t="inlineStr">
        <is>
          <t>ORD-00163</t>
        </is>
      </c>
      <c r="B164" s="3" t="n">
        <v>45156</v>
      </c>
      <c r="C164" s="2" t="inlineStr">
        <is>
          <t>CUST-0065</t>
        </is>
      </c>
      <c r="D164" s="2" t="inlineStr">
        <is>
          <t>William Taylor</t>
        </is>
      </c>
      <c r="E164" s="2" t="inlineStr">
        <is>
          <t>France</t>
        </is>
      </c>
      <c r="F164" s="2" t="inlineStr">
        <is>
          <t>Kitchen Organizer</t>
        </is>
      </c>
      <c r="G164" s="2" t="inlineStr">
        <is>
          <t>Home &amp; Garden</t>
        </is>
      </c>
      <c r="H164" s="2" t="n">
        <v>3</v>
      </c>
      <c r="I164" s="4" t="n">
        <v>37.81</v>
      </c>
      <c r="J164" s="5" t="n">
        <v>0</v>
      </c>
      <c r="K164" s="4">
        <f>H164*I164*(1-J164)</f>
        <v/>
      </c>
      <c r="L164" s="2" t="inlineStr">
        <is>
          <t>Bank Transfer</t>
        </is>
      </c>
    </row>
    <row r="165">
      <c r="A165" s="6" t="inlineStr">
        <is>
          <t>ORD-00164</t>
        </is>
      </c>
      <c r="B165" s="7" t="n">
        <v>45160</v>
      </c>
      <c r="C165" s="6" t="inlineStr">
        <is>
          <t>CUST-0106</t>
        </is>
      </c>
      <c r="D165" s="6" t="inlineStr">
        <is>
          <t>Emily Harris</t>
        </is>
      </c>
      <c r="E165" s="6" t="inlineStr">
        <is>
          <t>USA</t>
        </is>
      </c>
      <c r="F165" s="6" t="inlineStr">
        <is>
          <t>Winter Jacket</t>
        </is>
      </c>
      <c r="G165" s="6" t="inlineStr">
        <is>
          <t>Clothing</t>
        </is>
      </c>
      <c r="H165" s="6" t="n">
        <v>3</v>
      </c>
      <c r="I165" s="8" t="n">
        <v>101.89</v>
      </c>
      <c r="J165" s="9" t="n">
        <v>0</v>
      </c>
      <c r="K165" s="8">
        <f>H165*I165*(1-J165)</f>
        <v/>
      </c>
      <c r="L165" s="6" t="inlineStr">
        <is>
          <t>Credit Card</t>
        </is>
      </c>
    </row>
    <row r="166">
      <c r="A166" s="2" t="inlineStr">
        <is>
          <t>ORD-00165</t>
        </is>
      </c>
      <c r="B166" s="3" t="n">
        <v>45164</v>
      </c>
      <c r="C166" s="2" t="inlineStr">
        <is>
          <t>CUST-0134</t>
        </is>
      </c>
      <c r="D166" s="2" t="inlineStr">
        <is>
          <t>Oliver Yilmaz</t>
        </is>
      </c>
      <c r="E166" s="2" t="inlineStr">
        <is>
          <t>Turkey</t>
        </is>
      </c>
      <c r="F166" s="2" t="inlineStr">
        <is>
          <t>Running Shoes</t>
        </is>
      </c>
      <c r="G166" s="2" t="inlineStr">
        <is>
          <t>Clothing</t>
        </is>
      </c>
      <c r="H166" s="2" t="n">
        <v>3</v>
      </c>
      <c r="I166" s="4" t="n">
        <v>92.08</v>
      </c>
      <c r="J166" s="5" t="n">
        <v>0.05</v>
      </c>
      <c r="K166" s="4">
        <f>H166*I166*(1-J166)</f>
        <v/>
      </c>
      <c r="L166" s="2" t="inlineStr">
        <is>
          <t>Credit Card</t>
        </is>
      </c>
    </row>
    <row r="167">
      <c r="A167" s="6" t="inlineStr">
        <is>
          <t>ORD-00166</t>
        </is>
      </c>
      <c r="B167" s="7" t="n">
        <v>45166</v>
      </c>
      <c r="C167" s="6" t="inlineStr">
        <is>
          <t>CUST-0110</t>
        </is>
      </c>
      <c r="D167" s="6" t="inlineStr">
        <is>
          <t>Ingrid Bernard</t>
        </is>
      </c>
      <c r="E167" s="6" t="inlineStr">
        <is>
          <t>Canada</t>
        </is>
      </c>
      <c r="F167" s="6" t="inlineStr">
        <is>
          <t>Gym Bag</t>
        </is>
      </c>
      <c r="G167" s="6" t="inlineStr">
        <is>
          <t>Sports</t>
        </is>
      </c>
      <c r="H167" s="6" t="n">
        <v>1</v>
      </c>
      <c r="I167" s="8" t="n">
        <v>27.85</v>
      </c>
      <c r="J167" s="9" t="n">
        <v>0</v>
      </c>
      <c r="K167" s="8">
        <f>H167*I167*(1-J167)</f>
        <v/>
      </c>
      <c r="L167" s="6" t="inlineStr">
        <is>
          <t>PayPal</t>
        </is>
      </c>
    </row>
    <row r="168">
      <c r="A168" s="2" t="inlineStr">
        <is>
          <t>ORD-00167</t>
        </is>
      </c>
      <c r="B168" s="3" t="n">
        <v>45167</v>
      </c>
      <c r="C168" s="2" t="inlineStr">
        <is>
          <t>CUST-0070</t>
        </is>
      </c>
      <c r="D168" s="2" t="inlineStr">
        <is>
          <t>Fatma Moore</t>
        </is>
      </c>
      <c r="E168" s="2" t="inlineStr">
        <is>
          <t>USA</t>
        </is>
      </c>
      <c r="F168" s="2" t="inlineStr">
        <is>
          <t>Wool Scarf</t>
        </is>
      </c>
      <c r="G168" s="2" t="inlineStr">
        <is>
          <t>Clothing</t>
        </is>
      </c>
      <c r="H168" s="2" t="n">
        <v>1</v>
      </c>
      <c r="I168" s="4" t="n">
        <v>22</v>
      </c>
      <c r="J168" s="5" t="n">
        <v>0</v>
      </c>
      <c r="K168" s="4">
        <f>H168*I168*(1-J168)</f>
        <v/>
      </c>
      <c r="L168" s="2" t="inlineStr">
        <is>
          <t>Credit Card</t>
        </is>
      </c>
    </row>
    <row r="169">
      <c r="A169" s="6" t="inlineStr">
        <is>
          <t>ORD-00168</t>
        </is>
      </c>
      <c r="B169" s="7" t="n">
        <v>45168</v>
      </c>
      <c r="C169" s="6" t="inlineStr">
        <is>
          <t>CUST-0094</t>
        </is>
      </c>
      <c r="D169" s="6" t="inlineStr">
        <is>
          <t>Ayse Martinez</t>
        </is>
      </c>
      <c r="E169" s="6" t="inlineStr">
        <is>
          <t>USA</t>
        </is>
      </c>
      <c r="F169" s="6" t="inlineStr">
        <is>
          <t>Wool Scarf</t>
        </is>
      </c>
      <c r="G169" s="6" t="inlineStr">
        <is>
          <t>Clothing</t>
        </is>
      </c>
      <c r="H169" s="6" t="n">
        <v>1</v>
      </c>
      <c r="I169" s="8" t="n">
        <v>20.8</v>
      </c>
      <c r="J169" s="9" t="n">
        <v>0.05</v>
      </c>
      <c r="K169" s="8">
        <f>H169*I169*(1-J169)</f>
        <v/>
      </c>
      <c r="L169" s="6" t="inlineStr">
        <is>
          <t>Credit Card</t>
        </is>
      </c>
    </row>
    <row r="170">
      <c r="A170" s="2" t="inlineStr">
        <is>
          <t>ORD-00169</t>
        </is>
      </c>
      <c r="B170" s="3" t="n">
        <v>45168</v>
      </c>
      <c r="C170" s="2" t="inlineStr">
        <is>
          <t>CUST-0016</t>
        </is>
      </c>
      <c r="D170" s="2" t="inlineStr">
        <is>
          <t>Daniel Garcia</t>
        </is>
      </c>
      <c r="E170" s="2" t="inlineStr">
        <is>
          <t>Germany</t>
        </is>
      </c>
      <c r="F170" s="2" t="inlineStr">
        <is>
          <t>Fitness Tracker</t>
        </is>
      </c>
      <c r="G170" s="2" t="inlineStr">
        <is>
          <t>Sports</t>
        </is>
      </c>
      <c r="H170" s="2" t="n">
        <v>2</v>
      </c>
      <c r="I170" s="4" t="n">
        <v>45.33</v>
      </c>
      <c r="J170" s="5" t="n">
        <v>0.05</v>
      </c>
      <c r="K170" s="4">
        <f>H170*I170*(1-J170)</f>
        <v/>
      </c>
      <c r="L170" s="2" t="inlineStr">
        <is>
          <t>Bank Transfer</t>
        </is>
      </c>
    </row>
    <row r="171">
      <c r="A171" s="6" t="inlineStr">
        <is>
          <t>ORD-00170</t>
        </is>
      </c>
      <c r="B171" s="7" t="n">
        <v>45169</v>
      </c>
      <c r="C171" s="6" t="inlineStr">
        <is>
          <t>CUST-0078</t>
        </is>
      </c>
      <c r="D171" s="6" t="inlineStr">
        <is>
          <t>Scarlett Yilmaz</t>
        </is>
      </c>
      <c r="E171" s="6" t="inlineStr">
        <is>
          <t>UK</t>
        </is>
      </c>
      <c r="F171" s="6" t="inlineStr">
        <is>
          <t>Travel Photography</t>
        </is>
      </c>
      <c r="G171" s="6" t="inlineStr">
        <is>
          <t>Books</t>
        </is>
      </c>
      <c r="H171" s="6" t="n">
        <v>2</v>
      </c>
      <c r="I171" s="8" t="n">
        <v>30.42</v>
      </c>
      <c r="J171" s="9" t="n">
        <v>0</v>
      </c>
      <c r="K171" s="8">
        <f>H171*I171*(1-J171)</f>
        <v/>
      </c>
      <c r="L171" s="6" t="inlineStr">
        <is>
          <t>PayPal</t>
        </is>
      </c>
    </row>
    <row r="172">
      <c r="A172" s="2" t="inlineStr">
        <is>
          <t>ORD-00171</t>
        </is>
      </c>
      <c r="B172" s="3" t="n">
        <v>45170</v>
      </c>
      <c r="C172" s="2" t="inlineStr">
        <is>
          <t>CUST-0108</t>
        </is>
      </c>
      <c r="D172" s="2" t="inlineStr">
        <is>
          <t>Evelyn Campbell</t>
        </is>
      </c>
      <c r="E172" s="2" t="inlineStr">
        <is>
          <t>UK</t>
        </is>
      </c>
      <c r="F172" s="2" t="inlineStr">
        <is>
          <t>Scented Candle</t>
        </is>
      </c>
      <c r="G172" s="2" t="inlineStr">
        <is>
          <t>Home &amp; Garden</t>
        </is>
      </c>
      <c r="H172" s="2" t="n">
        <v>1</v>
      </c>
      <c r="I172" s="4" t="n">
        <v>24.58</v>
      </c>
      <c r="J172" s="5" t="n">
        <v>0</v>
      </c>
      <c r="K172" s="4">
        <f>H172*I172*(1-J172)</f>
        <v/>
      </c>
      <c r="L172" s="2" t="inlineStr">
        <is>
          <t>Credit Card</t>
        </is>
      </c>
    </row>
    <row r="173">
      <c r="A173" s="6" t="inlineStr">
        <is>
          <t>ORD-00172</t>
        </is>
      </c>
      <c r="B173" s="7" t="n">
        <v>45170</v>
      </c>
      <c r="C173" s="6" t="inlineStr">
        <is>
          <t>CUST-0131</t>
        </is>
      </c>
      <c r="D173" s="6" t="inlineStr">
        <is>
          <t>Scarlett Rodriguez</t>
        </is>
      </c>
      <c r="E173" s="6" t="inlineStr">
        <is>
          <t>USA</t>
        </is>
      </c>
      <c r="F173" s="6" t="inlineStr">
        <is>
          <t>Gym Bag</t>
        </is>
      </c>
      <c r="G173" s="6" t="inlineStr">
        <is>
          <t>Sports</t>
        </is>
      </c>
      <c r="H173" s="6" t="n">
        <v>2</v>
      </c>
      <c r="I173" s="8" t="n">
        <v>33.62</v>
      </c>
      <c r="J173" s="9" t="n">
        <v>0.2</v>
      </c>
      <c r="K173" s="8">
        <f>H173*I173*(1-J173)</f>
        <v/>
      </c>
      <c r="L173" s="6" t="inlineStr">
        <is>
          <t>Credit Card</t>
        </is>
      </c>
    </row>
    <row r="174">
      <c r="A174" s="2" t="inlineStr">
        <is>
          <t>ORD-00173</t>
        </is>
      </c>
      <c r="B174" s="3" t="n">
        <v>45173</v>
      </c>
      <c r="C174" s="2" t="inlineStr">
        <is>
          <t>CUST-0058</t>
        </is>
      </c>
      <c r="D174" s="2" t="inlineStr">
        <is>
          <t>Evelyn Jackson</t>
        </is>
      </c>
      <c r="E174" s="2" t="inlineStr">
        <is>
          <t>USA</t>
        </is>
      </c>
      <c r="F174" s="2" t="inlineStr">
        <is>
          <t>Leather Belt</t>
        </is>
      </c>
      <c r="G174" s="2" t="inlineStr">
        <is>
          <t>Clothing</t>
        </is>
      </c>
      <c r="H174" s="2" t="n">
        <v>2</v>
      </c>
      <c r="I174" s="4" t="n">
        <v>29.32</v>
      </c>
      <c r="J174" s="5" t="n">
        <v>0</v>
      </c>
      <c r="K174" s="4">
        <f>H174*I174*(1-J174)</f>
        <v/>
      </c>
      <c r="L174" s="2" t="inlineStr">
        <is>
          <t>Credit Card</t>
        </is>
      </c>
    </row>
    <row r="175">
      <c r="A175" s="6" t="inlineStr">
        <is>
          <t>ORD-00174</t>
        </is>
      </c>
      <c r="B175" s="7" t="n">
        <v>45174</v>
      </c>
      <c r="C175" s="6" t="inlineStr">
        <is>
          <t>CUST-0105</t>
        </is>
      </c>
      <c r="D175" s="6" t="inlineStr">
        <is>
          <t>Sebastian Martin</t>
        </is>
      </c>
      <c r="E175" s="6" t="inlineStr">
        <is>
          <t>USA</t>
        </is>
      </c>
      <c r="F175" s="6" t="inlineStr">
        <is>
          <t>Plant Pot Set</t>
        </is>
      </c>
      <c r="G175" s="6" t="inlineStr">
        <is>
          <t>Home &amp; Garden</t>
        </is>
      </c>
      <c r="H175" s="6" t="n">
        <v>2</v>
      </c>
      <c r="I175" s="8" t="n">
        <v>32.26</v>
      </c>
      <c r="J175" s="9" t="n">
        <v>0.05</v>
      </c>
      <c r="K175" s="8">
        <f>H175*I175*(1-J175)</f>
        <v/>
      </c>
      <c r="L175" s="6" t="inlineStr">
        <is>
          <t>PayPal</t>
        </is>
      </c>
    </row>
    <row r="176">
      <c r="A176" s="2" t="inlineStr">
        <is>
          <t>ORD-00175</t>
        </is>
      </c>
      <c r="B176" s="3" t="n">
        <v>45175</v>
      </c>
      <c r="C176" s="2" t="inlineStr">
        <is>
          <t>CUST-0013</t>
        </is>
      </c>
      <c r="D176" s="2" t="inlineStr">
        <is>
          <t>Daniel Miller</t>
        </is>
      </c>
      <c r="E176" s="2" t="inlineStr">
        <is>
          <t>UK</t>
        </is>
      </c>
      <c r="F176" s="2" t="inlineStr">
        <is>
          <t>Jump Rope</t>
        </is>
      </c>
      <c r="G176" s="2" t="inlineStr">
        <is>
          <t>Sports</t>
        </is>
      </c>
      <c r="H176" s="2" t="n">
        <v>1</v>
      </c>
      <c r="I176" s="4" t="n">
        <v>10.7</v>
      </c>
      <c r="J176" s="5" t="n">
        <v>0</v>
      </c>
      <c r="K176" s="4">
        <f>H176*I176*(1-J176)</f>
        <v/>
      </c>
      <c r="L176" s="2" t="inlineStr">
        <is>
          <t>Credit Card</t>
        </is>
      </c>
    </row>
    <row r="177">
      <c r="A177" s="6" t="inlineStr">
        <is>
          <t>ORD-00176</t>
        </is>
      </c>
      <c r="B177" s="7" t="n">
        <v>45175</v>
      </c>
      <c r="C177" s="6" t="inlineStr">
        <is>
          <t>CUST-0147</t>
        </is>
      </c>
      <c r="D177" s="6" t="inlineStr">
        <is>
          <t>Hans Schmidt</t>
        </is>
      </c>
      <c r="E177" s="6" t="inlineStr">
        <is>
          <t>France</t>
        </is>
      </c>
      <c r="F177" s="6" t="inlineStr">
        <is>
          <t>Wall Clock</t>
        </is>
      </c>
      <c r="G177" s="6" t="inlineStr">
        <is>
          <t>Home &amp; Garden</t>
        </is>
      </c>
      <c r="H177" s="6" t="n">
        <v>1</v>
      </c>
      <c r="I177" s="8" t="n">
        <v>31.41</v>
      </c>
      <c r="J177" s="9" t="n">
        <v>0</v>
      </c>
      <c r="K177" s="8">
        <f>H177*I177*(1-J177)</f>
        <v/>
      </c>
      <c r="L177" s="6" t="inlineStr">
        <is>
          <t>Credit Card</t>
        </is>
      </c>
    </row>
    <row r="178">
      <c r="A178" s="2" t="inlineStr">
        <is>
          <t>ORD-00177</t>
        </is>
      </c>
      <c r="B178" s="3" t="n">
        <v>45177</v>
      </c>
      <c r="C178" s="2" t="inlineStr">
        <is>
          <t>CUST-0122</t>
        </is>
      </c>
      <c r="D178" s="2" t="inlineStr">
        <is>
          <t>Alexander Ozturk</t>
        </is>
      </c>
      <c r="E178" s="2" t="inlineStr">
        <is>
          <t>Germany</t>
        </is>
      </c>
      <c r="F178" s="2" t="inlineStr">
        <is>
          <t>Scented Candle</t>
        </is>
      </c>
      <c r="G178" s="2" t="inlineStr">
        <is>
          <t>Home &amp; Garden</t>
        </is>
      </c>
      <c r="H178" s="2" t="n">
        <v>4</v>
      </c>
      <c r="I178" s="4" t="n">
        <v>16.82</v>
      </c>
      <c r="J178" s="5" t="n">
        <v>0.05</v>
      </c>
      <c r="K178" s="4">
        <f>H178*I178*(1-J178)</f>
        <v/>
      </c>
      <c r="L178" s="2" t="inlineStr">
        <is>
          <t>PayPal</t>
        </is>
      </c>
    </row>
    <row r="179">
      <c r="A179" s="6" t="inlineStr">
        <is>
          <t>ORD-00178</t>
        </is>
      </c>
      <c r="B179" s="7" t="n">
        <v>45177</v>
      </c>
      <c r="C179" s="6" t="inlineStr">
        <is>
          <t>CUST-0012</t>
        </is>
      </c>
      <c r="D179" s="6" t="inlineStr">
        <is>
          <t>Thomas Clark</t>
        </is>
      </c>
      <c r="E179" s="6" t="inlineStr">
        <is>
          <t>USA</t>
        </is>
      </c>
      <c r="F179" s="6" t="inlineStr">
        <is>
          <t>Denim Jeans</t>
        </is>
      </c>
      <c r="G179" s="6" t="inlineStr">
        <is>
          <t>Clothing</t>
        </is>
      </c>
      <c r="H179" s="6" t="n">
        <v>3</v>
      </c>
      <c r="I179" s="8" t="n">
        <v>61.58</v>
      </c>
      <c r="J179" s="9" t="n">
        <v>0.1</v>
      </c>
      <c r="K179" s="8">
        <f>H179*I179*(1-J179)</f>
        <v/>
      </c>
      <c r="L179" s="6" t="inlineStr">
        <is>
          <t>Credit Card</t>
        </is>
      </c>
    </row>
    <row r="180">
      <c r="A180" s="2" t="inlineStr">
        <is>
          <t>ORD-00179</t>
        </is>
      </c>
      <c r="B180" s="3" t="n">
        <v>45178</v>
      </c>
      <c r="C180" s="2" t="inlineStr">
        <is>
          <t>CUST-0039</t>
        </is>
      </c>
      <c r="D180" s="2" t="inlineStr">
        <is>
          <t>Ethan Rodriguez</t>
        </is>
      </c>
      <c r="E180" s="2" t="inlineStr">
        <is>
          <t>Germany</t>
        </is>
      </c>
      <c r="F180" s="2" t="inlineStr">
        <is>
          <t>Power Bank</t>
        </is>
      </c>
      <c r="G180" s="2" t="inlineStr">
        <is>
          <t>Electronics</t>
        </is>
      </c>
      <c r="H180" s="2" t="n">
        <v>2</v>
      </c>
      <c r="I180" s="4" t="n">
        <v>20.95</v>
      </c>
      <c r="J180" s="5" t="n">
        <v>0.1</v>
      </c>
      <c r="K180" s="4">
        <f>H180*I180*(1-J180)</f>
        <v/>
      </c>
      <c r="L180" s="2" t="inlineStr">
        <is>
          <t>PayPal</t>
        </is>
      </c>
    </row>
    <row r="181">
      <c r="A181" s="6" t="inlineStr">
        <is>
          <t>ORD-00180</t>
        </is>
      </c>
      <c r="B181" s="7" t="n">
        <v>45180</v>
      </c>
      <c r="C181" s="6" t="inlineStr">
        <is>
          <t>CUST-0071</t>
        </is>
      </c>
      <c r="D181" s="6" t="inlineStr">
        <is>
          <t>Emily Chen</t>
        </is>
      </c>
      <c r="E181" s="6" t="inlineStr">
        <is>
          <t>USA</t>
        </is>
      </c>
      <c r="F181" s="6" t="inlineStr">
        <is>
          <t>Jump Rope</t>
        </is>
      </c>
      <c r="G181" s="6" t="inlineStr">
        <is>
          <t>Sports</t>
        </is>
      </c>
      <c r="H181" s="6" t="n">
        <v>1</v>
      </c>
      <c r="I181" s="8" t="n">
        <v>13.81</v>
      </c>
      <c r="J181" s="9" t="n">
        <v>0.05</v>
      </c>
      <c r="K181" s="8">
        <f>H181*I181*(1-J181)</f>
        <v/>
      </c>
      <c r="L181" s="6" t="inlineStr">
        <is>
          <t>PayPal</t>
        </is>
      </c>
    </row>
    <row r="182">
      <c r="A182" s="2" t="inlineStr">
        <is>
          <t>ORD-00181</t>
        </is>
      </c>
      <c r="B182" s="3" t="n">
        <v>45180</v>
      </c>
      <c r="C182" s="2" t="inlineStr">
        <is>
          <t>CUST-0101</t>
        </is>
      </c>
      <c r="D182" s="2" t="inlineStr">
        <is>
          <t>Amelia Schmidt</t>
        </is>
      </c>
      <c r="E182" s="2" t="inlineStr">
        <is>
          <t>USA</t>
        </is>
      </c>
      <c r="F182" s="2" t="inlineStr">
        <is>
          <t>Throw Pillow</t>
        </is>
      </c>
      <c r="G182" s="2" t="inlineStr">
        <is>
          <t>Home &amp; Garden</t>
        </is>
      </c>
      <c r="H182" s="2" t="n">
        <v>2</v>
      </c>
      <c r="I182" s="4" t="n">
        <v>27.64</v>
      </c>
      <c r="J182" s="5" t="n">
        <v>0</v>
      </c>
      <c r="K182" s="4">
        <f>H182*I182*(1-J182)</f>
        <v/>
      </c>
      <c r="L182" s="2" t="inlineStr">
        <is>
          <t>Credit Card</t>
        </is>
      </c>
    </row>
    <row r="183">
      <c r="A183" s="6" t="inlineStr">
        <is>
          <t>ORD-00182</t>
        </is>
      </c>
      <c r="B183" s="7" t="n">
        <v>45181</v>
      </c>
      <c r="C183" s="6" t="inlineStr">
        <is>
          <t>CUST-0041</t>
        </is>
      </c>
      <c r="D183" s="6" t="inlineStr">
        <is>
          <t>Isabella Chen</t>
        </is>
      </c>
      <c r="E183" s="6" t="inlineStr">
        <is>
          <t>USA</t>
        </is>
      </c>
      <c r="F183" s="6" t="inlineStr">
        <is>
          <t>Jump Rope</t>
        </is>
      </c>
      <c r="G183" s="6" t="inlineStr">
        <is>
          <t>Sports</t>
        </is>
      </c>
      <c r="H183" s="6" t="n">
        <v>1</v>
      </c>
      <c r="I183" s="8" t="n">
        <v>16.64</v>
      </c>
      <c r="J183" s="9" t="n">
        <v>0</v>
      </c>
      <c r="K183" s="8">
        <f>H183*I183*(1-J183)</f>
        <v/>
      </c>
      <c r="L183" s="6" t="inlineStr">
        <is>
          <t>Bank Transfer</t>
        </is>
      </c>
    </row>
    <row r="184">
      <c r="A184" s="2" t="inlineStr">
        <is>
          <t>ORD-00183</t>
        </is>
      </c>
      <c r="B184" s="3" t="n">
        <v>45181</v>
      </c>
      <c r="C184" s="2" t="inlineStr">
        <is>
          <t>CUST-0074</t>
        </is>
      </c>
      <c r="D184" s="2" t="inlineStr">
        <is>
          <t>Robert Stewart</t>
        </is>
      </c>
      <c r="E184" s="2" t="inlineStr">
        <is>
          <t>USA</t>
        </is>
      </c>
      <c r="F184" s="2" t="inlineStr">
        <is>
          <t>Wireless Mouse</t>
        </is>
      </c>
      <c r="G184" s="2" t="inlineStr">
        <is>
          <t>Electronics</t>
        </is>
      </c>
      <c r="H184" s="2" t="n">
        <v>4</v>
      </c>
      <c r="I184" s="4" t="n">
        <v>16.89</v>
      </c>
      <c r="J184" s="5" t="n">
        <v>0.05</v>
      </c>
      <c r="K184" s="4">
        <f>H184*I184*(1-J184)</f>
        <v/>
      </c>
      <c r="L184" s="2" t="inlineStr">
        <is>
          <t>Credit Card</t>
        </is>
      </c>
    </row>
    <row r="185">
      <c r="A185" s="6" t="inlineStr">
        <is>
          <t>ORD-00184</t>
        </is>
      </c>
      <c r="B185" s="7" t="n">
        <v>45182</v>
      </c>
      <c r="C185" s="6" t="inlineStr">
        <is>
          <t>CUST-0025</t>
        </is>
      </c>
      <c r="D185" s="6" t="inlineStr">
        <is>
          <t>Sarah Park</t>
        </is>
      </c>
      <c r="E185" s="6" t="inlineStr">
        <is>
          <t>USA</t>
        </is>
      </c>
      <c r="F185" s="6" t="inlineStr">
        <is>
          <t>Denim Jeans</t>
        </is>
      </c>
      <c r="G185" s="6" t="inlineStr">
        <is>
          <t>Clothing</t>
        </is>
      </c>
      <c r="H185" s="6" t="n">
        <v>1</v>
      </c>
      <c r="I185" s="8" t="n">
        <v>44.85</v>
      </c>
      <c r="J185" s="9" t="n">
        <v>0.15</v>
      </c>
      <c r="K185" s="8">
        <f>H185*I185*(1-J185)</f>
        <v/>
      </c>
      <c r="L185" s="6" t="inlineStr">
        <is>
          <t>Credit Card</t>
        </is>
      </c>
    </row>
    <row r="186">
      <c r="A186" s="2" t="inlineStr">
        <is>
          <t>ORD-00185</t>
        </is>
      </c>
      <c r="B186" s="3" t="n">
        <v>45182</v>
      </c>
      <c r="C186" s="2" t="inlineStr">
        <is>
          <t>CUST-0018</t>
        </is>
      </c>
      <c r="D186" s="2" t="inlineStr">
        <is>
          <t>Camila Bernard</t>
        </is>
      </c>
      <c r="E186" s="2" t="inlineStr">
        <is>
          <t>USA</t>
        </is>
      </c>
      <c r="F186" s="2" t="inlineStr">
        <is>
          <t>Cotton T-Shirt</t>
        </is>
      </c>
      <c r="G186" s="2" t="inlineStr">
        <is>
          <t>Clothing</t>
        </is>
      </c>
      <c r="H186" s="2" t="n">
        <v>1</v>
      </c>
      <c r="I186" s="4" t="n">
        <v>29.4</v>
      </c>
      <c r="J186" s="5" t="n">
        <v>0.05</v>
      </c>
      <c r="K186" s="4">
        <f>H186*I186*(1-J186)</f>
        <v/>
      </c>
      <c r="L186" s="2" t="inlineStr">
        <is>
          <t>Credit Card</t>
        </is>
      </c>
    </row>
    <row r="187">
      <c r="A187" s="6" t="inlineStr">
        <is>
          <t>ORD-00186</t>
        </is>
      </c>
      <c r="B187" s="7" t="n">
        <v>45183</v>
      </c>
      <c r="C187" s="6" t="inlineStr">
        <is>
          <t>CUST-0022</t>
        </is>
      </c>
      <c r="D187" s="6" t="inlineStr">
        <is>
          <t>Penelope Chen</t>
        </is>
      </c>
      <c r="E187" s="6" t="inlineStr">
        <is>
          <t>Turkey</t>
        </is>
      </c>
      <c r="F187" s="6" t="inlineStr">
        <is>
          <t>Leather Belt</t>
        </is>
      </c>
      <c r="G187" s="6" t="inlineStr">
        <is>
          <t>Clothing</t>
        </is>
      </c>
      <c r="H187" s="6" t="n">
        <v>1</v>
      </c>
      <c r="I187" s="8" t="n">
        <v>29.96</v>
      </c>
      <c r="J187" s="9" t="n">
        <v>0</v>
      </c>
      <c r="K187" s="8">
        <f>H187*I187*(1-J187)</f>
        <v/>
      </c>
      <c r="L187" s="6" t="inlineStr">
        <is>
          <t>PayPal</t>
        </is>
      </c>
    </row>
    <row r="188">
      <c r="A188" s="2" t="inlineStr">
        <is>
          <t>ORD-00187</t>
        </is>
      </c>
      <c r="B188" s="3" t="n">
        <v>45183</v>
      </c>
      <c r="C188" s="2" t="inlineStr">
        <is>
          <t>CUST-0038</t>
        </is>
      </c>
      <c r="D188" s="2" t="inlineStr">
        <is>
          <t>Scarlett Moreau</t>
        </is>
      </c>
      <c r="E188" s="2" t="inlineStr">
        <is>
          <t>UK</t>
        </is>
      </c>
      <c r="F188" s="2" t="inlineStr">
        <is>
          <t>Gym Bag</t>
        </is>
      </c>
      <c r="G188" s="2" t="inlineStr">
        <is>
          <t>Sports</t>
        </is>
      </c>
      <c r="H188" s="2" t="n">
        <v>1</v>
      </c>
      <c r="I188" s="4" t="n">
        <v>48.52</v>
      </c>
      <c r="J188" s="5" t="n">
        <v>0.05</v>
      </c>
      <c r="K188" s="4">
        <f>H188*I188*(1-J188)</f>
        <v/>
      </c>
      <c r="L188" s="2" t="inlineStr">
        <is>
          <t>Credit Card</t>
        </is>
      </c>
    </row>
    <row r="189">
      <c r="A189" s="6" t="inlineStr">
        <is>
          <t>ORD-00188</t>
        </is>
      </c>
      <c r="B189" s="7" t="n">
        <v>45185</v>
      </c>
      <c r="C189" s="6" t="inlineStr">
        <is>
          <t>CUST-0123</t>
        </is>
      </c>
      <c r="D189" s="6" t="inlineStr">
        <is>
          <t>Olivia Garcia</t>
        </is>
      </c>
      <c r="E189" s="6" t="inlineStr">
        <is>
          <t>France</t>
        </is>
      </c>
      <c r="F189" s="6" t="inlineStr">
        <is>
          <t>Smartphone Case</t>
        </is>
      </c>
      <c r="G189" s="6" t="inlineStr">
        <is>
          <t>Electronics</t>
        </is>
      </c>
      <c r="H189" s="6" t="n">
        <v>1</v>
      </c>
      <c r="I189" s="8" t="n">
        <v>18</v>
      </c>
      <c r="J189" s="9" t="n">
        <v>0.1</v>
      </c>
      <c r="K189" s="8">
        <f>H189*I189*(1-J189)</f>
        <v/>
      </c>
      <c r="L189" s="6" t="inlineStr">
        <is>
          <t>Credit Card</t>
        </is>
      </c>
    </row>
    <row r="190">
      <c r="A190" s="2" t="inlineStr">
        <is>
          <t>ORD-00189</t>
        </is>
      </c>
      <c r="B190" s="3" t="n">
        <v>45185</v>
      </c>
      <c r="C190" s="2" t="inlineStr">
        <is>
          <t>CUST-0122</t>
        </is>
      </c>
      <c r="D190" s="2" t="inlineStr">
        <is>
          <t>Alexander Ozturk</t>
        </is>
      </c>
      <c r="E190" s="2" t="inlineStr">
        <is>
          <t>Germany</t>
        </is>
      </c>
      <c r="F190" s="2" t="inlineStr">
        <is>
          <t>Resistance Bands</t>
        </is>
      </c>
      <c r="G190" s="2" t="inlineStr">
        <is>
          <t>Sports</t>
        </is>
      </c>
      <c r="H190" s="2" t="n">
        <v>2</v>
      </c>
      <c r="I190" s="4" t="n">
        <v>23.89</v>
      </c>
      <c r="J190" s="5" t="n">
        <v>0</v>
      </c>
      <c r="K190" s="4">
        <f>H190*I190*(1-J190)</f>
        <v/>
      </c>
      <c r="L190" s="2" t="inlineStr">
        <is>
          <t>PayPal</t>
        </is>
      </c>
    </row>
    <row r="191">
      <c r="A191" s="6" t="inlineStr">
        <is>
          <t>ORD-00190</t>
        </is>
      </c>
      <c r="B191" s="7" t="n">
        <v>45186</v>
      </c>
      <c r="C191" s="6" t="inlineStr">
        <is>
          <t>CUST-0005</t>
        </is>
      </c>
      <c r="D191" s="6" t="inlineStr">
        <is>
          <t>Liam Johnson</t>
        </is>
      </c>
      <c r="E191" s="6" t="inlineStr">
        <is>
          <t>USA</t>
        </is>
      </c>
      <c r="F191" s="6" t="inlineStr">
        <is>
          <t>Cotton T-Shirt</t>
        </is>
      </c>
      <c r="G191" s="6" t="inlineStr">
        <is>
          <t>Clothing</t>
        </is>
      </c>
      <c r="H191" s="6" t="n">
        <v>3</v>
      </c>
      <c r="I191" s="8" t="n">
        <v>21.89</v>
      </c>
      <c r="J191" s="9" t="n">
        <v>0.1</v>
      </c>
      <c r="K191" s="8">
        <f>H191*I191*(1-J191)</f>
        <v/>
      </c>
      <c r="L191" s="6" t="inlineStr">
        <is>
          <t>PayPal</t>
        </is>
      </c>
    </row>
    <row r="192">
      <c r="A192" s="2" t="inlineStr">
        <is>
          <t>ORD-00191</t>
        </is>
      </c>
      <c r="B192" s="3" t="n">
        <v>45186</v>
      </c>
      <c r="C192" s="2" t="inlineStr">
        <is>
          <t>CUST-0010</t>
        </is>
      </c>
      <c r="D192" s="2" t="inlineStr">
        <is>
          <t>James Wilson</t>
        </is>
      </c>
      <c r="E192" s="2" t="inlineStr">
        <is>
          <t>France</t>
        </is>
      </c>
      <c r="F192" s="2" t="inlineStr">
        <is>
          <t>Resistance Bands</t>
        </is>
      </c>
      <c r="G192" s="2" t="inlineStr">
        <is>
          <t>Sports</t>
        </is>
      </c>
      <c r="H192" s="2" t="n">
        <v>4</v>
      </c>
      <c r="I192" s="4" t="n">
        <v>15.71</v>
      </c>
      <c r="J192" s="5" t="n">
        <v>0</v>
      </c>
      <c r="K192" s="4">
        <f>H192*I192*(1-J192)</f>
        <v/>
      </c>
      <c r="L192" s="2" t="inlineStr">
        <is>
          <t>PayPal</t>
        </is>
      </c>
    </row>
    <row r="193">
      <c r="A193" s="6" t="inlineStr">
        <is>
          <t>ORD-00192</t>
        </is>
      </c>
      <c r="B193" s="7" t="n">
        <v>45187</v>
      </c>
      <c r="C193" s="6" t="inlineStr">
        <is>
          <t>CUST-0123</t>
        </is>
      </c>
      <c r="D193" s="6" t="inlineStr">
        <is>
          <t>Olivia Garcia</t>
        </is>
      </c>
      <c r="E193" s="6" t="inlineStr">
        <is>
          <t>France</t>
        </is>
      </c>
      <c r="F193" s="6" t="inlineStr">
        <is>
          <t>Yoga Mat</t>
        </is>
      </c>
      <c r="G193" s="6" t="inlineStr">
        <is>
          <t>Sports</t>
        </is>
      </c>
      <c r="H193" s="6" t="n">
        <v>4</v>
      </c>
      <c r="I193" s="8" t="n">
        <v>28.49</v>
      </c>
      <c r="J193" s="9" t="n">
        <v>0.05</v>
      </c>
      <c r="K193" s="8">
        <f>H193*I193*(1-J193)</f>
        <v/>
      </c>
      <c r="L193" s="6" t="inlineStr">
        <is>
          <t>Credit Card</t>
        </is>
      </c>
    </row>
    <row r="194">
      <c r="A194" s="2" t="inlineStr">
        <is>
          <t>ORD-00193</t>
        </is>
      </c>
      <c r="B194" s="3" t="n">
        <v>45188</v>
      </c>
      <c r="C194" s="2" t="inlineStr">
        <is>
          <t>CUST-0096</t>
        </is>
      </c>
      <c r="D194" s="2" t="inlineStr">
        <is>
          <t>Pierre Brown</t>
        </is>
      </c>
      <c r="E194" s="2" t="inlineStr">
        <is>
          <t>France</t>
        </is>
      </c>
      <c r="F194" s="2" t="inlineStr">
        <is>
          <t>Travel Photography</t>
        </is>
      </c>
      <c r="G194" s="2" t="inlineStr">
        <is>
          <t>Books</t>
        </is>
      </c>
      <c r="H194" s="2" t="n">
        <v>1</v>
      </c>
      <c r="I194" s="4" t="n">
        <v>38.45</v>
      </c>
      <c r="J194" s="5" t="n">
        <v>0.15</v>
      </c>
      <c r="K194" s="4">
        <f>H194*I194*(1-J194)</f>
        <v/>
      </c>
      <c r="L194" s="2" t="inlineStr">
        <is>
          <t>Credit Card</t>
        </is>
      </c>
    </row>
    <row r="195">
      <c r="A195" s="6" t="inlineStr">
        <is>
          <t>ORD-00194</t>
        </is>
      </c>
      <c r="B195" s="7" t="n">
        <v>45191</v>
      </c>
      <c r="C195" s="6" t="inlineStr">
        <is>
          <t>CUST-0082</t>
        </is>
      </c>
      <c r="D195" s="6" t="inlineStr">
        <is>
          <t>Oliver Jackson</t>
        </is>
      </c>
      <c r="E195" s="6" t="inlineStr">
        <is>
          <t>USA</t>
        </is>
      </c>
      <c r="F195" s="6" t="inlineStr">
        <is>
          <t>Python Programming</t>
        </is>
      </c>
      <c r="G195" s="6" t="inlineStr">
        <is>
          <t>Books</t>
        </is>
      </c>
      <c r="H195" s="6" t="n">
        <v>2</v>
      </c>
      <c r="I195" s="8" t="n">
        <v>31.73</v>
      </c>
      <c r="J195" s="9" t="n">
        <v>0.05</v>
      </c>
      <c r="K195" s="8">
        <f>H195*I195*(1-J195)</f>
        <v/>
      </c>
      <c r="L195" s="6" t="inlineStr">
        <is>
          <t>Bank Transfer</t>
        </is>
      </c>
    </row>
    <row r="196">
      <c r="A196" s="2" t="inlineStr">
        <is>
          <t>ORD-00195</t>
        </is>
      </c>
      <c r="B196" s="3" t="n">
        <v>45196</v>
      </c>
      <c r="C196" s="2" t="inlineStr">
        <is>
          <t>CUST-0113</t>
        </is>
      </c>
      <c r="D196" s="2" t="inlineStr">
        <is>
          <t>Noah Jackson</t>
        </is>
      </c>
      <c r="E196" s="2" t="inlineStr">
        <is>
          <t>UK</t>
        </is>
      </c>
      <c r="F196" s="2" t="inlineStr">
        <is>
          <t>Denim Jeans</t>
        </is>
      </c>
      <c r="G196" s="2" t="inlineStr">
        <is>
          <t>Clothing</t>
        </is>
      </c>
      <c r="H196" s="2" t="n">
        <v>2</v>
      </c>
      <c r="I196" s="4" t="n">
        <v>73.47</v>
      </c>
      <c r="J196" s="5" t="n">
        <v>0</v>
      </c>
      <c r="K196" s="4">
        <f>H196*I196*(1-J196)</f>
        <v/>
      </c>
      <c r="L196" s="2" t="inlineStr">
        <is>
          <t>PayPal</t>
        </is>
      </c>
    </row>
    <row r="197">
      <c r="A197" s="6" t="inlineStr">
        <is>
          <t>ORD-00196</t>
        </is>
      </c>
      <c r="B197" s="7" t="n">
        <v>45197</v>
      </c>
      <c r="C197" s="6" t="inlineStr">
        <is>
          <t>CUST-0021</t>
        </is>
      </c>
      <c r="D197" s="6" t="inlineStr">
        <is>
          <t>Ethan Miller</t>
        </is>
      </c>
      <c r="E197" s="6" t="inlineStr">
        <is>
          <t>UK</t>
        </is>
      </c>
      <c r="F197" s="6" t="inlineStr">
        <is>
          <t>USB-C Hub</t>
        </is>
      </c>
      <c r="G197" s="6" t="inlineStr">
        <is>
          <t>Electronics</t>
        </is>
      </c>
      <c r="H197" s="6" t="n">
        <v>1</v>
      </c>
      <c r="I197" s="8" t="n">
        <v>44.31</v>
      </c>
      <c r="J197" s="9" t="n">
        <v>0.05</v>
      </c>
      <c r="K197" s="8">
        <f>H197*I197*(1-J197)</f>
        <v/>
      </c>
      <c r="L197" s="6" t="inlineStr">
        <is>
          <t>PayPal</t>
        </is>
      </c>
    </row>
    <row r="198">
      <c r="A198" s="2" t="inlineStr">
        <is>
          <t>ORD-00197</t>
        </is>
      </c>
      <c r="B198" s="3" t="n">
        <v>45197</v>
      </c>
      <c r="C198" s="2" t="inlineStr">
        <is>
          <t>CUST-0051</t>
        </is>
      </c>
      <c r="D198" s="2" t="inlineStr">
        <is>
          <t>Thomas Anderson</t>
        </is>
      </c>
      <c r="E198" s="2" t="inlineStr">
        <is>
          <t>Germany</t>
        </is>
      </c>
      <c r="F198" s="2" t="inlineStr">
        <is>
          <t>Wool Scarf</t>
        </is>
      </c>
      <c r="G198" s="2" t="inlineStr">
        <is>
          <t>Clothing</t>
        </is>
      </c>
      <c r="H198" s="2" t="n">
        <v>1</v>
      </c>
      <c r="I198" s="4" t="n">
        <v>25.61</v>
      </c>
      <c r="J198" s="5" t="n">
        <v>0</v>
      </c>
      <c r="K198" s="4">
        <f>H198*I198*(1-J198)</f>
        <v/>
      </c>
      <c r="L198" s="2" t="inlineStr">
        <is>
          <t>Credit Card</t>
        </is>
      </c>
    </row>
    <row r="199">
      <c r="A199" s="6" t="inlineStr">
        <is>
          <t>ORD-00198</t>
        </is>
      </c>
      <c r="B199" s="7" t="n">
        <v>45197</v>
      </c>
      <c r="C199" s="6" t="inlineStr">
        <is>
          <t>CUST-0124</t>
        </is>
      </c>
      <c r="D199" s="6" t="inlineStr">
        <is>
          <t>Harper Williams</t>
        </is>
      </c>
      <c r="E199" s="6" t="inlineStr">
        <is>
          <t>USA</t>
        </is>
      </c>
      <c r="F199" s="6" t="inlineStr">
        <is>
          <t>Bluetooth Speaker</t>
        </is>
      </c>
      <c r="G199" s="6" t="inlineStr">
        <is>
          <t>Electronics</t>
        </is>
      </c>
      <c r="H199" s="6" t="n">
        <v>1</v>
      </c>
      <c r="I199" s="8" t="n">
        <v>46.73</v>
      </c>
      <c r="J199" s="9" t="n">
        <v>0.2</v>
      </c>
      <c r="K199" s="8">
        <f>H199*I199*(1-J199)</f>
        <v/>
      </c>
      <c r="L199" s="6" t="inlineStr">
        <is>
          <t>Bank Transfer</t>
        </is>
      </c>
    </row>
    <row r="200">
      <c r="A200" s="2" t="inlineStr">
        <is>
          <t>ORD-00199</t>
        </is>
      </c>
      <c r="B200" s="3" t="n">
        <v>45200</v>
      </c>
      <c r="C200" s="2" t="inlineStr">
        <is>
          <t>CUST-0001</t>
        </is>
      </c>
      <c r="D200" s="2" t="inlineStr">
        <is>
          <t>Jean Davis</t>
        </is>
      </c>
      <c r="E200" s="2" t="inlineStr">
        <is>
          <t>USA</t>
        </is>
      </c>
      <c r="F200" s="2" t="inlineStr">
        <is>
          <t>Running Shoes</t>
        </is>
      </c>
      <c r="G200" s="2" t="inlineStr">
        <is>
          <t>Clothing</t>
        </is>
      </c>
      <c r="H200" s="2" t="n">
        <v>2</v>
      </c>
      <c r="I200" s="4" t="n">
        <v>118.61</v>
      </c>
      <c r="J200" s="5" t="n">
        <v>0.1</v>
      </c>
      <c r="K200" s="4">
        <f>H200*I200*(1-J200)</f>
        <v/>
      </c>
      <c r="L200" s="2" t="inlineStr">
        <is>
          <t>Bank Transfer</t>
        </is>
      </c>
    </row>
    <row r="201">
      <c r="A201" s="6" t="inlineStr">
        <is>
          <t>ORD-00200</t>
        </is>
      </c>
      <c r="B201" s="7" t="n">
        <v>45200</v>
      </c>
      <c r="C201" s="6" t="inlineStr">
        <is>
          <t>CUST-0102</t>
        </is>
      </c>
      <c r="D201" s="6" t="inlineStr">
        <is>
          <t>Ahmed Jackson</t>
        </is>
      </c>
      <c r="E201" s="6" t="inlineStr">
        <is>
          <t>Germany</t>
        </is>
      </c>
      <c r="F201" s="6" t="inlineStr">
        <is>
          <t>Power Bank</t>
        </is>
      </c>
      <c r="G201" s="6" t="inlineStr">
        <is>
          <t>Electronics</t>
        </is>
      </c>
      <c r="H201" s="6" t="n">
        <v>1</v>
      </c>
      <c r="I201" s="8" t="n">
        <v>38.35</v>
      </c>
      <c r="J201" s="9" t="n">
        <v>0.1</v>
      </c>
      <c r="K201" s="8">
        <f>H201*I201*(1-J201)</f>
        <v/>
      </c>
      <c r="L201" s="6" t="inlineStr">
        <is>
          <t>Credit Card</t>
        </is>
      </c>
    </row>
    <row r="202">
      <c r="A202" s="2" t="inlineStr">
        <is>
          <t>ORD-00201</t>
        </is>
      </c>
      <c r="B202" s="3" t="n">
        <v>45202</v>
      </c>
      <c r="C202" s="2" t="inlineStr">
        <is>
          <t>CUST-0107</t>
        </is>
      </c>
      <c r="D202" s="2" t="inlineStr">
        <is>
          <t>Aria Rodriguez</t>
        </is>
      </c>
      <c r="E202" s="2" t="inlineStr">
        <is>
          <t>France</t>
        </is>
      </c>
      <c r="F202" s="2" t="inlineStr">
        <is>
          <t>Scented Candle</t>
        </is>
      </c>
      <c r="G202" s="2" t="inlineStr">
        <is>
          <t>Home &amp; Garden</t>
        </is>
      </c>
      <c r="H202" s="2" t="n">
        <v>1</v>
      </c>
      <c r="I202" s="4" t="n">
        <v>12.81</v>
      </c>
      <c r="J202" s="5" t="n">
        <v>0.15</v>
      </c>
      <c r="K202" s="4">
        <f>H202*I202*(1-J202)</f>
        <v/>
      </c>
      <c r="L202" s="2" t="inlineStr">
        <is>
          <t>PayPal</t>
        </is>
      </c>
    </row>
    <row r="203">
      <c r="A203" s="6" t="inlineStr">
        <is>
          <t>ORD-00202</t>
        </is>
      </c>
      <c r="B203" s="7" t="n">
        <v>45204</v>
      </c>
      <c r="C203" s="6" t="inlineStr">
        <is>
          <t>CUST-0114</t>
        </is>
      </c>
      <c r="D203" s="6" t="inlineStr">
        <is>
          <t>Lucas Wilson</t>
        </is>
      </c>
      <c r="E203" s="6" t="inlineStr">
        <is>
          <t>Turkey</t>
        </is>
      </c>
      <c r="F203" s="6" t="inlineStr">
        <is>
          <t>Water Bottle</t>
        </is>
      </c>
      <c r="G203" s="6" t="inlineStr">
        <is>
          <t>Sports</t>
        </is>
      </c>
      <c r="H203" s="6" t="n">
        <v>2</v>
      </c>
      <c r="I203" s="8" t="n">
        <v>25.7</v>
      </c>
      <c r="J203" s="9" t="n">
        <v>0.05</v>
      </c>
      <c r="K203" s="8">
        <f>H203*I203*(1-J203)</f>
        <v/>
      </c>
      <c r="L203" s="6" t="inlineStr">
        <is>
          <t>Credit Card</t>
        </is>
      </c>
    </row>
    <row r="204">
      <c r="A204" s="2" t="inlineStr">
        <is>
          <t>ORD-00203</t>
        </is>
      </c>
      <c r="B204" s="3" t="n">
        <v>45206</v>
      </c>
      <c r="C204" s="2" t="inlineStr">
        <is>
          <t>CUST-0107</t>
        </is>
      </c>
      <c r="D204" s="2" t="inlineStr">
        <is>
          <t>Aria Rodriguez</t>
        </is>
      </c>
      <c r="E204" s="2" t="inlineStr">
        <is>
          <t>France</t>
        </is>
      </c>
      <c r="F204" s="2" t="inlineStr">
        <is>
          <t>Fitness Tracker</t>
        </is>
      </c>
      <c r="G204" s="2" t="inlineStr">
        <is>
          <t>Sports</t>
        </is>
      </c>
      <c r="H204" s="2" t="n">
        <v>2</v>
      </c>
      <c r="I204" s="4" t="n">
        <v>42.18</v>
      </c>
      <c r="J204" s="5" t="n">
        <v>0</v>
      </c>
      <c r="K204" s="4">
        <f>H204*I204*(1-J204)</f>
        <v/>
      </c>
      <c r="L204" s="2" t="inlineStr">
        <is>
          <t>Bank Transfer</t>
        </is>
      </c>
    </row>
    <row r="205">
      <c r="A205" s="6" t="inlineStr">
        <is>
          <t>ORD-00204</t>
        </is>
      </c>
      <c r="B205" s="7" t="n">
        <v>45206</v>
      </c>
      <c r="C205" s="6" t="inlineStr">
        <is>
          <t>CUST-0032</t>
        </is>
      </c>
      <c r="D205" s="6" t="inlineStr">
        <is>
          <t>Noah Thomas</t>
        </is>
      </c>
      <c r="E205" s="6" t="inlineStr">
        <is>
          <t>Canada</t>
        </is>
      </c>
      <c r="F205" s="6" t="inlineStr">
        <is>
          <t>Fitness Tracker</t>
        </is>
      </c>
      <c r="G205" s="6" t="inlineStr">
        <is>
          <t>Sports</t>
        </is>
      </c>
      <c r="H205" s="6" t="n">
        <v>3</v>
      </c>
      <c r="I205" s="8" t="n">
        <v>74.45999999999999</v>
      </c>
      <c r="J205" s="9" t="n">
        <v>0.15</v>
      </c>
      <c r="K205" s="8">
        <f>H205*I205*(1-J205)</f>
        <v/>
      </c>
      <c r="L205" s="6" t="inlineStr">
        <is>
          <t>Credit Card</t>
        </is>
      </c>
    </row>
    <row r="206">
      <c r="A206" s="2" t="inlineStr">
        <is>
          <t>ORD-00205</t>
        </is>
      </c>
      <c r="B206" s="3" t="n">
        <v>45207</v>
      </c>
      <c r="C206" s="2" t="inlineStr">
        <is>
          <t>CUST-0074</t>
        </is>
      </c>
      <c r="D206" s="2" t="inlineStr">
        <is>
          <t>Robert Stewart</t>
        </is>
      </c>
      <c r="E206" s="2" t="inlineStr">
        <is>
          <t>USA</t>
        </is>
      </c>
      <c r="F206" s="2" t="inlineStr">
        <is>
          <t>Power Bank</t>
        </is>
      </c>
      <c r="G206" s="2" t="inlineStr">
        <is>
          <t>Electronics</t>
        </is>
      </c>
      <c r="H206" s="2" t="n">
        <v>1</v>
      </c>
      <c r="I206" s="4" t="n">
        <v>55.82</v>
      </c>
      <c r="J206" s="5" t="n">
        <v>0</v>
      </c>
      <c r="K206" s="4">
        <f>H206*I206*(1-J206)</f>
        <v/>
      </c>
      <c r="L206" s="2" t="inlineStr">
        <is>
          <t>PayPal</t>
        </is>
      </c>
    </row>
    <row r="207">
      <c r="A207" s="6" t="inlineStr">
        <is>
          <t>ORD-00206</t>
        </is>
      </c>
      <c r="B207" s="7" t="n">
        <v>45208</v>
      </c>
      <c r="C207" s="6" t="inlineStr">
        <is>
          <t>CUST-0015</t>
        </is>
      </c>
      <c r="D207" s="6" t="inlineStr">
        <is>
          <t>Liam Campbell</t>
        </is>
      </c>
      <c r="E207" s="6" t="inlineStr">
        <is>
          <t>Germany</t>
        </is>
      </c>
      <c r="F207" s="6" t="inlineStr">
        <is>
          <t>Cotton T-Shirt</t>
        </is>
      </c>
      <c r="G207" s="6" t="inlineStr">
        <is>
          <t>Clothing</t>
        </is>
      </c>
      <c r="H207" s="6" t="n">
        <v>2</v>
      </c>
      <c r="I207" s="8" t="n">
        <v>21.2</v>
      </c>
      <c r="J207" s="9" t="n">
        <v>0</v>
      </c>
      <c r="K207" s="8">
        <f>H207*I207*(1-J207)</f>
        <v/>
      </c>
      <c r="L207" s="6" t="inlineStr">
        <is>
          <t>PayPal</t>
        </is>
      </c>
    </row>
    <row r="208">
      <c r="A208" s="2" t="inlineStr">
        <is>
          <t>ORD-00207</t>
        </is>
      </c>
      <c r="B208" s="3" t="n">
        <v>45208</v>
      </c>
      <c r="C208" s="2" t="inlineStr">
        <is>
          <t>CUST-0138</t>
        </is>
      </c>
      <c r="D208" s="2" t="inlineStr">
        <is>
          <t>Anna Clark</t>
        </is>
      </c>
      <c r="E208" s="2" t="inlineStr">
        <is>
          <t>Turkey</t>
        </is>
      </c>
      <c r="F208" s="2" t="inlineStr">
        <is>
          <t>Python Programming</t>
        </is>
      </c>
      <c r="G208" s="2" t="inlineStr">
        <is>
          <t>Books</t>
        </is>
      </c>
      <c r="H208" s="2" t="n">
        <v>2</v>
      </c>
      <c r="I208" s="4" t="n">
        <v>40.03</v>
      </c>
      <c r="J208" s="5" t="n">
        <v>0.05</v>
      </c>
      <c r="K208" s="4">
        <f>H208*I208*(1-J208)</f>
        <v/>
      </c>
      <c r="L208" s="2" t="inlineStr">
        <is>
          <t>Bank Transfer</t>
        </is>
      </c>
    </row>
    <row r="209">
      <c r="A209" s="6" t="inlineStr">
        <is>
          <t>ORD-00208</t>
        </is>
      </c>
      <c r="B209" s="7" t="n">
        <v>45209</v>
      </c>
      <c r="C209" s="6" t="inlineStr">
        <is>
          <t>CUST-0104</t>
        </is>
      </c>
      <c r="D209" s="6" t="inlineStr">
        <is>
          <t>Robert Moreau</t>
        </is>
      </c>
      <c r="E209" s="6" t="inlineStr">
        <is>
          <t>Germany</t>
        </is>
      </c>
      <c r="F209" s="6" t="inlineStr">
        <is>
          <t>Power Bank</t>
        </is>
      </c>
      <c r="G209" s="6" t="inlineStr">
        <is>
          <t>Electronics</t>
        </is>
      </c>
      <c r="H209" s="6" t="n">
        <v>4</v>
      </c>
      <c r="I209" s="8" t="n">
        <v>21.54</v>
      </c>
      <c r="J209" s="9" t="n">
        <v>0</v>
      </c>
      <c r="K209" s="8">
        <f>H209*I209*(1-J209)</f>
        <v/>
      </c>
      <c r="L209" s="6" t="inlineStr">
        <is>
          <t>Credit Card</t>
        </is>
      </c>
    </row>
    <row r="210">
      <c r="A210" s="2" t="inlineStr">
        <is>
          <t>ORD-00209</t>
        </is>
      </c>
      <c r="B210" s="3" t="n">
        <v>45210</v>
      </c>
      <c r="C210" s="2" t="inlineStr">
        <is>
          <t>CUST-0058</t>
        </is>
      </c>
      <c r="D210" s="2" t="inlineStr">
        <is>
          <t>Evelyn Jackson</t>
        </is>
      </c>
      <c r="E210" s="2" t="inlineStr">
        <is>
          <t>USA</t>
        </is>
      </c>
      <c r="F210" s="2" t="inlineStr">
        <is>
          <t>Plant Pot Set</t>
        </is>
      </c>
      <c r="G210" s="2" t="inlineStr">
        <is>
          <t>Home &amp; Garden</t>
        </is>
      </c>
      <c r="H210" s="2" t="n">
        <v>2</v>
      </c>
      <c r="I210" s="4" t="n">
        <v>26.36</v>
      </c>
      <c r="J210" s="5" t="n">
        <v>0</v>
      </c>
      <c r="K210" s="4">
        <f>H210*I210*(1-J210)</f>
        <v/>
      </c>
      <c r="L210" s="2" t="inlineStr">
        <is>
          <t>Credit Card</t>
        </is>
      </c>
    </row>
    <row r="211">
      <c r="A211" s="6" t="inlineStr">
        <is>
          <t>ORD-00210</t>
        </is>
      </c>
      <c r="B211" s="7" t="n">
        <v>45211</v>
      </c>
      <c r="C211" s="6" t="inlineStr">
        <is>
          <t>CUST-0108</t>
        </is>
      </c>
      <c r="D211" s="6" t="inlineStr">
        <is>
          <t>Evelyn Campbell</t>
        </is>
      </c>
      <c r="E211" s="6" t="inlineStr">
        <is>
          <t>UK</t>
        </is>
      </c>
      <c r="F211" s="6" t="inlineStr">
        <is>
          <t>Cotton T-Shirt</t>
        </is>
      </c>
      <c r="G211" s="6" t="inlineStr">
        <is>
          <t>Clothing</t>
        </is>
      </c>
      <c r="H211" s="6" t="n">
        <v>3</v>
      </c>
      <c r="I211" s="8" t="n">
        <v>24.4</v>
      </c>
      <c r="J211" s="9" t="n">
        <v>0</v>
      </c>
      <c r="K211" s="8">
        <f>H211*I211*(1-J211)</f>
        <v/>
      </c>
      <c r="L211" s="6" t="inlineStr">
        <is>
          <t>Bank Transfer</t>
        </is>
      </c>
    </row>
    <row r="212">
      <c r="A212" s="2" t="inlineStr">
        <is>
          <t>ORD-00211</t>
        </is>
      </c>
      <c r="B212" s="3" t="n">
        <v>45214</v>
      </c>
      <c r="C212" s="2" t="inlineStr">
        <is>
          <t>CUST-0015</t>
        </is>
      </c>
      <c r="D212" s="2" t="inlineStr">
        <is>
          <t>Liam Campbell</t>
        </is>
      </c>
      <c r="E212" s="2" t="inlineStr">
        <is>
          <t>Germany</t>
        </is>
      </c>
      <c r="F212" s="2" t="inlineStr">
        <is>
          <t>Fitness Tracker</t>
        </is>
      </c>
      <c r="G212" s="2" t="inlineStr">
        <is>
          <t>Sports</t>
        </is>
      </c>
      <c r="H212" s="2" t="n">
        <v>3</v>
      </c>
      <c r="I212" s="4" t="n">
        <v>56.46</v>
      </c>
      <c r="J212" s="5" t="n">
        <v>0.25</v>
      </c>
      <c r="K212" s="4">
        <f>H212*I212*(1-J212)</f>
        <v/>
      </c>
      <c r="L212" s="2" t="inlineStr">
        <is>
          <t>Bank Transfer</t>
        </is>
      </c>
    </row>
    <row r="213">
      <c r="A213" s="6" t="inlineStr">
        <is>
          <t>ORD-00212</t>
        </is>
      </c>
      <c r="B213" s="7" t="n">
        <v>45217</v>
      </c>
      <c r="C213" s="6" t="inlineStr">
        <is>
          <t>CUST-0114</t>
        </is>
      </c>
      <c r="D213" s="6" t="inlineStr">
        <is>
          <t>Lucas Wilson</t>
        </is>
      </c>
      <c r="E213" s="6" t="inlineStr">
        <is>
          <t>Turkey</t>
        </is>
      </c>
      <c r="F213" s="6" t="inlineStr">
        <is>
          <t>Plant Pot Set</t>
        </is>
      </c>
      <c r="G213" s="6" t="inlineStr">
        <is>
          <t>Home &amp; Garden</t>
        </is>
      </c>
      <c r="H213" s="6" t="n">
        <v>1</v>
      </c>
      <c r="I213" s="8" t="n">
        <v>28.16</v>
      </c>
      <c r="J213" s="9" t="n">
        <v>0</v>
      </c>
      <c r="K213" s="8">
        <f>H213*I213*(1-J213)</f>
        <v/>
      </c>
      <c r="L213" s="6" t="inlineStr">
        <is>
          <t>Credit Card</t>
        </is>
      </c>
    </row>
    <row r="214">
      <c r="A214" s="2" t="inlineStr">
        <is>
          <t>ORD-00213</t>
        </is>
      </c>
      <c r="B214" s="3" t="n">
        <v>45218</v>
      </c>
      <c r="C214" s="2" t="inlineStr">
        <is>
          <t>CUST-0115</t>
        </is>
      </c>
      <c r="D214" s="2" t="inlineStr">
        <is>
          <t>Emily White</t>
        </is>
      </c>
      <c r="E214" s="2" t="inlineStr">
        <is>
          <t>Germany</t>
        </is>
      </c>
      <c r="F214" s="2" t="inlineStr">
        <is>
          <t>Bluetooth Speaker</t>
        </is>
      </c>
      <c r="G214" s="2" t="inlineStr">
        <is>
          <t>Electronics</t>
        </is>
      </c>
      <c r="H214" s="2" t="n">
        <v>3</v>
      </c>
      <c r="I214" s="4" t="n">
        <v>48.56</v>
      </c>
      <c r="J214" s="5" t="n">
        <v>0.05</v>
      </c>
      <c r="K214" s="4">
        <f>H214*I214*(1-J214)</f>
        <v/>
      </c>
      <c r="L214" s="2" t="inlineStr">
        <is>
          <t>PayPal</t>
        </is>
      </c>
    </row>
    <row r="215">
      <c r="A215" s="6" t="inlineStr">
        <is>
          <t>ORD-00214</t>
        </is>
      </c>
      <c r="B215" s="7" t="n">
        <v>45218</v>
      </c>
      <c r="C215" s="6" t="inlineStr">
        <is>
          <t>CUST-0018</t>
        </is>
      </c>
      <c r="D215" s="6" t="inlineStr">
        <is>
          <t>Camila Bernard</t>
        </is>
      </c>
      <c r="E215" s="6" t="inlineStr">
        <is>
          <t>USA</t>
        </is>
      </c>
      <c r="F215" s="6" t="inlineStr">
        <is>
          <t>Business Strategy</t>
        </is>
      </c>
      <c r="G215" s="6" t="inlineStr">
        <is>
          <t>Books</t>
        </is>
      </c>
      <c r="H215" s="6" t="n">
        <v>1</v>
      </c>
      <c r="I215" s="8" t="n">
        <v>29.71</v>
      </c>
      <c r="J215" s="9" t="n">
        <v>0.1</v>
      </c>
      <c r="K215" s="8">
        <f>H215*I215*(1-J215)</f>
        <v/>
      </c>
      <c r="L215" s="6" t="inlineStr">
        <is>
          <t>PayPal</t>
        </is>
      </c>
    </row>
    <row r="216">
      <c r="A216" s="2" t="inlineStr">
        <is>
          <t>ORD-00215</t>
        </is>
      </c>
      <c r="B216" s="3" t="n">
        <v>45219</v>
      </c>
      <c r="C216" s="2" t="inlineStr">
        <is>
          <t>CUST-0138</t>
        </is>
      </c>
      <c r="D216" s="2" t="inlineStr">
        <is>
          <t>Anna Clark</t>
        </is>
      </c>
      <c r="E216" s="2" t="inlineStr">
        <is>
          <t>Turkey</t>
        </is>
      </c>
      <c r="F216" s="2" t="inlineStr">
        <is>
          <t>Smartphone Case</t>
        </is>
      </c>
      <c r="G216" s="2" t="inlineStr">
        <is>
          <t>Electronics</t>
        </is>
      </c>
      <c r="H216" s="2" t="n">
        <v>4</v>
      </c>
      <c r="I216" s="4" t="n">
        <v>18.61</v>
      </c>
      <c r="J216" s="5" t="n">
        <v>0.1</v>
      </c>
      <c r="K216" s="4">
        <f>H216*I216*(1-J216)</f>
        <v/>
      </c>
      <c r="L216" s="2" t="inlineStr">
        <is>
          <t>PayPal</t>
        </is>
      </c>
    </row>
    <row r="217">
      <c r="A217" s="6" t="inlineStr">
        <is>
          <t>ORD-00216</t>
        </is>
      </c>
      <c r="B217" s="7" t="n">
        <v>45220</v>
      </c>
      <c r="C217" s="6" t="inlineStr">
        <is>
          <t>CUST-0054</t>
        </is>
      </c>
      <c r="D217" s="6" t="inlineStr">
        <is>
          <t>Isabella Kaya</t>
        </is>
      </c>
      <c r="E217" s="6" t="inlineStr">
        <is>
          <t>Turkey</t>
        </is>
      </c>
      <c r="F217" s="6" t="inlineStr">
        <is>
          <t>Wool Scarf</t>
        </is>
      </c>
      <c r="G217" s="6" t="inlineStr">
        <is>
          <t>Clothing</t>
        </is>
      </c>
      <c r="H217" s="6" t="n">
        <v>1</v>
      </c>
      <c r="I217" s="8" t="n">
        <v>35.16</v>
      </c>
      <c r="J217" s="9" t="n">
        <v>0.05</v>
      </c>
      <c r="K217" s="8">
        <f>H217*I217*(1-J217)</f>
        <v/>
      </c>
      <c r="L217" s="6" t="inlineStr">
        <is>
          <t>PayPal</t>
        </is>
      </c>
    </row>
    <row r="218">
      <c r="A218" s="2" t="inlineStr">
        <is>
          <t>ORD-00217</t>
        </is>
      </c>
      <c r="B218" s="3" t="n">
        <v>45222</v>
      </c>
      <c r="C218" s="2" t="inlineStr">
        <is>
          <t>CUST-0054</t>
        </is>
      </c>
      <c r="D218" s="2" t="inlineStr">
        <is>
          <t>Isabella Kaya</t>
        </is>
      </c>
      <c r="E218" s="2" t="inlineStr">
        <is>
          <t>Turkey</t>
        </is>
      </c>
      <c r="F218" s="2" t="inlineStr">
        <is>
          <t>Fitness Tracker</t>
        </is>
      </c>
      <c r="G218" s="2" t="inlineStr">
        <is>
          <t>Sports</t>
        </is>
      </c>
      <c r="H218" s="2" t="n">
        <v>1</v>
      </c>
      <c r="I218" s="4" t="n">
        <v>45.84</v>
      </c>
      <c r="J218" s="5" t="n">
        <v>0.2</v>
      </c>
      <c r="K218" s="4">
        <f>H218*I218*(1-J218)</f>
        <v/>
      </c>
      <c r="L218" s="2" t="inlineStr">
        <is>
          <t>PayPal</t>
        </is>
      </c>
    </row>
    <row r="219">
      <c r="A219" s="6" t="inlineStr">
        <is>
          <t>ORD-00218</t>
        </is>
      </c>
      <c r="B219" s="7" t="n">
        <v>45223</v>
      </c>
      <c r="C219" s="6" t="inlineStr">
        <is>
          <t>CUST-0010</t>
        </is>
      </c>
      <c r="D219" s="6" t="inlineStr">
        <is>
          <t>James Wilson</t>
        </is>
      </c>
      <c r="E219" s="6" t="inlineStr">
        <is>
          <t>France</t>
        </is>
      </c>
      <c r="F219" s="6" t="inlineStr">
        <is>
          <t>Smartphone Case</t>
        </is>
      </c>
      <c r="G219" s="6" t="inlineStr">
        <is>
          <t>Electronics</t>
        </is>
      </c>
      <c r="H219" s="6" t="n">
        <v>1</v>
      </c>
      <c r="I219" s="8" t="n">
        <v>28.56</v>
      </c>
      <c r="J219" s="9" t="n">
        <v>0.05</v>
      </c>
      <c r="K219" s="8">
        <f>H219*I219*(1-J219)</f>
        <v/>
      </c>
      <c r="L219" s="6" t="inlineStr">
        <is>
          <t>PayPal</t>
        </is>
      </c>
    </row>
    <row r="220">
      <c r="A220" s="2" t="inlineStr">
        <is>
          <t>ORD-00219</t>
        </is>
      </c>
      <c r="B220" s="3" t="n">
        <v>45223</v>
      </c>
      <c r="C220" s="2" t="inlineStr">
        <is>
          <t>CUST-0060</t>
        </is>
      </c>
      <c r="D220" s="2" t="inlineStr">
        <is>
          <t>Ayse Jones</t>
        </is>
      </c>
      <c r="E220" s="2" t="inlineStr">
        <is>
          <t>Canada</t>
        </is>
      </c>
      <c r="F220" s="2" t="inlineStr">
        <is>
          <t>Gym Bag</t>
        </is>
      </c>
      <c r="G220" s="2" t="inlineStr">
        <is>
          <t>Sports</t>
        </is>
      </c>
      <c r="H220" s="2" t="n">
        <v>2</v>
      </c>
      <c r="I220" s="4" t="n">
        <v>42.27</v>
      </c>
      <c r="J220" s="5" t="n">
        <v>0.1</v>
      </c>
      <c r="K220" s="4">
        <f>H220*I220*(1-J220)</f>
        <v/>
      </c>
      <c r="L220" s="2" t="inlineStr">
        <is>
          <t>PayPal</t>
        </is>
      </c>
    </row>
    <row r="221">
      <c r="A221" s="6" t="inlineStr">
        <is>
          <t>ORD-00220</t>
        </is>
      </c>
      <c r="B221" s="7" t="n">
        <v>45223</v>
      </c>
      <c r="C221" s="6" t="inlineStr">
        <is>
          <t>CUST-0147</t>
        </is>
      </c>
      <c r="D221" s="6" t="inlineStr">
        <is>
          <t>Hans Schmidt</t>
        </is>
      </c>
      <c r="E221" s="6" t="inlineStr">
        <is>
          <t>France</t>
        </is>
      </c>
      <c r="F221" s="6" t="inlineStr">
        <is>
          <t>Wool Scarf</t>
        </is>
      </c>
      <c r="G221" s="6" t="inlineStr">
        <is>
          <t>Clothing</t>
        </is>
      </c>
      <c r="H221" s="6" t="n">
        <v>2</v>
      </c>
      <c r="I221" s="8" t="n">
        <v>44.63</v>
      </c>
      <c r="J221" s="9" t="n">
        <v>0</v>
      </c>
      <c r="K221" s="8">
        <f>H221*I221*(1-J221)</f>
        <v/>
      </c>
      <c r="L221" s="6" t="inlineStr">
        <is>
          <t>Bank Transfer</t>
        </is>
      </c>
    </row>
    <row r="222">
      <c r="A222" s="2" t="inlineStr">
        <is>
          <t>ORD-00221</t>
        </is>
      </c>
      <c r="B222" s="3" t="n">
        <v>45224</v>
      </c>
      <c r="C222" s="2" t="inlineStr">
        <is>
          <t>CUST-0035</t>
        </is>
      </c>
      <c r="D222" s="2" t="inlineStr">
        <is>
          <t>Claire Campbell</t>
        </is>
      </c>
      <c r="E222" s="2" t="inlineStr">
        <is>
          <t>USA</t>
        </is>
      </c>
      <c r="F222" s="2" t="inlineStr">
        <is>
          <t>Wool Scarf</t>
        </is>
      </c>
      <c r="G222" s="2" t="inlineStr">
        <is>
          <t>Clothing</t>
        </is>
      </c>
      <c r="H222" s="2" t="n">
        <v>1</v>
      </c>
      <c r="I222" s="4" t="n">
        <v>22.25</v>
      </c>
      <c r="J222" s="5" t="n">
        <v>0</v>
      </c>
      <c r="K222" s="4">
        <f>H222*I222*(1-J222)</f>
        <v/>
      </c>
      <c r="L222" s="2" t="inlineStr">
        <is>
          <t>Credit Card</t>
        </is>
      </c>
    </row>
    <row r="223">
      <c r="A223" s="6" t="inlineStr">
        <is>
          <t>ORD-00222</t>
        </is>
      </c>
      <c r="B223" s="7" t="n">
        <v>45226</v>
      </c>
      <c r="C223" s="6" t="inlineStr">
        <is>
          <t>CUST-0009</t>
        </is>
      </c>
      <c r="D223" s="6" t="inlineStr">
        <is>
          <t>Owen Moreau</t>
        </is>
      </c>
      <c r="E223" s="6" t="inlineStr">
        <is>
          <t>USA</t>
        </is>
      </c>
      <c r="F223" s="6" t="inlineStr">
        <is>
          <t>Wool Scarf</t>
        </is>
      </c>
      <c r="G223" s="6" t="inlineStr">
        <is>
          <t>Clothing</t>
        </is>
      </c>
      <c r="H223" s="6" t="n">
        <v>3</v>
      </c>
      <c r="I223" s="8" t="n">
        <v>27.21</v>
      </c>
      <c r="J223" s="9" t="n">
        <v>0.05</v>
      </c>
      <c r="K223" s="8">
        <f>H223*I223*(1-J223)</f>
        <v/>
      </c>
      <c r="L223" s="6" t="inlineStr">
        <is>
          <t>PayPal</t>
        </is>
      </c>
    </row>
    <row r="224">
      <c r="A224" s="2" t="inlineStr">
        <is>
          <t>ORD-00223</t>
        </is>
      </c>
      <c r="B224" s="3" t="n">
        <v>45226</v>
      </c>
      <c r="C224" s="2" t="inlineStr">
        <is>
          <t>CUST-0060</t>
        </is>
      </c>
      <c r="D224" s="2" t="inlineStr">
        <is>
          <t>Ayse Jones</t>
        </is>
      </c>
      <c r="E224" s="2" t="inlineStr">
        <is>
          <t>Canada</t>
        </is>
      </c>
      <c r="F224" s="2" t="inlineStr">
        <is>
          <t>Jump Rope</t>
        </is>
      </c>
      <c r="G224" s="2" t="inlineStr">
        <is>
          <t>Sports</t>
        </is>
      </c>
      <c r="H224" s="2" t="n">
        <v>2</v>
      </c>
      <c r="I224" s="4" t="n">
        <v>12.47</v>
      </c>
      <c r="J224" s="5" t="n">
        <v>0.05</v>
      </c>
      <c r="K224" s="4">
        <f>H224*I224*(1-J224)</f>
        <v/>
      </c>
      <c r="L224" s="2" t="inlineStr">
        <is>
          <t>Credit Card</t>
        </is>
      </c>
    </row>
    <row r="225">
      <c r="A225" s="6" t="inlineStr">
        <is>
          <t>ORD-00224</t>
        </is>
      </c>
      <c r="B225" s="7" t="n">
        <v>45229</v>
      </c>
      <c r="C225" s="6" t="inlineStr">
        <is>
          <t>CUST-0087</t>
        </is>
      </c>
      <c r="D225" s="6" t="inlineStr">
        <is>
          <t>Pierre Smith</t>
        </is>
      </c>
      <c r="E225" s="6" t="inlineStr">
        <is>
          <t>Canada</t>
        </is>
      </c>
      <c r="F225" s="6" t="inlineStr">
        <is>
          <t>Fitness Tracker</t>
        </is>
      </c>
      <c r="G225" s="6" t="inlineStr">
        <is>
          <t>Sports</t>
        </is>
      </c>
      <c r="H225" s="6" t="n">
        <v>1</v>
      </c>
      <c r="I225" s="8" t="n">
        <v>78.13</v>
      </c>
      <c r="J225" s="9" t="n">
        <v>0.2</v>
      </c>
      <c r="K225" s="8">
        <f>H225*I225*(1-J225)</f>
        <v/>
      </c>
      <c r="L225" s="6" t="inlineStr">
        <is>
          <t>Bank Transfer</t>
        </is>
      </c>
    </row>
    <row r="226">
      <c r="A226" s="2" t="inlineStr">
        <is>
          <t>ORD-00225</t>
        </is>
      </c>
      <c r="B226" s="3" t="n">
        <v>45230</v>
      </c>
      <c r="C226" s="2" t="inlineStr">
        <is>
          <t>CUST-0068</t>
        </is>
      </c>
      <c r="D226" s="2" t="inlineStr">
        <is>
          <t>Amelia Moore</t>
        </is>
      </c>
      <c r="E226" s="2" t="inlineStr">
        <is>
          <t>USA</t>
        </is>
      </c>
      <c r="F226" s="2" t="inlineStr">
        <is>
          <t>Cotton T-Shirt</t>
        </is>
      </c>
      <c r="G226" s="2" t="inlineStr">
        <is>
          <t>Clothing</t>
        </is>
      </c>
      <c r="H226" s="2" t="n">
        <v>4</v>
      </c>
      <c r="I226" s="4" t="n">
        <v>31.25</v>
      </c>
      <c r="J226" s="5" t="n">
        <v>0.15</v>
      </c>
      <c r="K226" s="4">
        <f>H226*I226*(1-J226)</f>
        <v/>
      </c>
      <c r="L226" s="2" t="inlineStr">
        <is>
          <t>Credit Card</t>
        </is>
      </c>
    </row>
    <row r="227">
      <c r="A227" s="6" t="inlineStr">
        <is>
          <t>ORD-00226</t>
        </is>
      </c>
      <c r="B227" s="7" t="n">
        <v>45233</v>
      </c>
      <c r="C227" s="6" t="inlineStr">
        <is>
          <t>CUST-0021</t>
        </is>
      </c>
      <c r="D227" s="6" t="inlineStr">
        <is>
          <t>Ethan Miller</t>
        </is>
      </c>
      <c r="E227" s="6" t="inlineStr">
        <is>
          <t>UK</t>
        </is>
      </c>
      <c r="F227" s="6" t="inlineStr">
        <is>
          <t>Leather Belt</t>
        </is>
      </c>
      <c r="G227" s="6" t="inlineStr">
        <is>
          <t>Clothing</t>
        </is>
      </c>
      <c r="H227" s="6" t="n">
        <v>2</v>
      </c>
      <c r="I227" s="8" t="n">
        <v>26.03</v>
      </c>
      <c r="J227" s="9" t="n">
        <v>0.05</v>
      </c>
      <c r="K227" s="8">
        <f>H227*I227*(1-J227)</f>
        <v/>
      </c>
      <c r="L227" s="6" t="inlineStr">
        <is>
          <t>PayPal</t>
        </is>
      </c>
    </row>
    <row r="228">
      <c r="A228" s="2" t="inlineStr">
        <is>
          <t>ORD-00227</t>
        </is>
      </c>
      <c r="B228" s="3" t="n">
        <v>45239</v>
      </c>
      <c r="C228" s="2" t="inlineStr">
        <is>
          <t>CUST-0146</t>
        </is>
      </c>
      <c r="D228" s="2" t="inlineStr">
        <is>
          <t>Noah Lee</t>
        </is>
      </c>
      <c r="E228" s="2" t="inlineStr">
        <is>
          <t>UK</t>
        </is>
      </c>
      <c r="F228" s="2" t="inlineStr">
        <is>
          <t>Throw Pillow</t>
        </is>
      </c>
      <c r="G228" s="2" t="inlineStr">
        <is>
          <t>Home &amp; Garden</t>
        </is>
      </c>
      <c r="H228" s="2" t="n">
        <v>1</v>
      </c>
      <c r="I228" s="4" t="n">
        <v>34.19</v>
      </c>
      <c r="J228" s="5" t="n">
        <v>0.1</v>
      </c>
      <c r="K228" s="4">
        <f>H228*I228*(1-J228)</f>
        <v/>
      </c>
      <c r="L228" s="2" t="inlineStr">
        <is>
          <t>PayPal</t>
        </is>
      </c>
    </row>
    <row r="229">
      <c r="A229" s="6" t="inlineStr">
        <is>
          <t>ORD-00228</t>
        </is>
      </c>
      <c r="B229" s="7" t="n">
        <v>45240</v>
      </c>
      <c r="C229" s="6" t="inlineStr">
        <is>
          <t>CUST-0115</t>
        </is>
      </c>
      <c r="D229" s="6" t="inlineStr">
        <is>
          <t>Emily White</t>
        </is>
      </c>
      <c r="E229" s="6" t="inlineStr">
        <is>
          <t>Germany</t>
        </is>
      </c>
      <c r="F229" s="6" t="inlineStr">
        <is>
          <t>LED Desk Lamp</t>
        </is>
      </c>
      <c r="G229" s="6" t="inlineStr">
        <is>
          <t>Home &amp; Garden</t>
        </is>
      </c>
      <c r="H229" s="6" t="n">
        <v>2</v>
      </c>
      <c r="I229" s="8" t="n">
        <v>30.82</v>
      </c>
      <c r="J229" s="9" t="n">
        <v>0.05</v>
      </c>
      <c r="K229" s="8">
        <f>H229*I229*(1-J229)</f>
        <v/>
      </c>
      <c r="L229" s="6" t="inlineStr">
        <is>
          <t>PayPal</t>
        </is>
      </c>
    </row>
    <row r="230">
      <c r="A230" s="2" t="inlineStr">
        <is>
          <t>ORD-00229</t>
        </is>
      </c>
      <c r="B230" s="3" t="n">
        <v>45242</v>
      </c>
      <c r="C230" s="2" t="inlineStr">
        <is>
          <t>CUST-0114</t>
        </is>
      </c>
      <c r="D230" s="2" t="inlineStr">
        <is>
          <t>Lucas Wilson</t>
        </is>
      </c>
      <c r="E230" s="2" t="inlineStr">
        <is>
          <t>Turkey</t>
        </is>
      </c>
      <c r="F230" s="2" t="inlineStr">
        <is>
          <t>Running Shoes</t>
        </is>
      </c>
      <c r="G230" s="2" t="inlineStr">
        <is>
          <t>Clothing</t>
        </is>
      </c>
      <c r="H230" s="2" t="n">
        <v>1</v>
      </c>
      <c r="I230" s="4" t="n">
        <v>67.15000000000001</v>
      </c>
      <c r="J230" s="5" t="n">
        <v>0.05</v>
      </c>
      <c r="K230" s="4">
        <f>H230*I230*(1-J230)</f>
        <v/>
      </c>
      <c r="L230" s="2" t="inlineStr">
        <is>
          <t>PayPal</t>
        </is>
      </c>
    </row>
    <row r="231">
      <c r="A231" s="6" t="inlineStr">
        <is>
          <t>ORD-00230</t>
        </is>
      </c>
      <c r="B231" s="7" t="n">
        <v>45247</v>
      </c>
      <c r="C231" s="6" t="inlineStr">
        <is>
          <t>CUST-0031</t>
        </is>
      </c>
      <c r="D231" s="6" t="inlineStr">
        <is>
          <t>Liam Harris</t>
        </is>
      </c>
      <c r="E231" s="6" t="inlineStr">
        <is>
          <t>UK</t>
        </is>
      </c>
      <c r="F231" s="6" t="inlineStr">
        <is>
          <t>Smartphone Case</t>
        </is>
      </c>
      <c r="G231" s="6" t="inlineStr">
        <is>
          <t>Electronics</t>
        </is>
      </c>
      <c r="H231" s="6" t="n">
        <v>2</v>
      </c>
      <c r="I231" s="8" t="n">
        <v>13.65</v>
      </c>
      <c r="J231" s="9" t="n">
        <v>0.05</v>
      </c>
      <c r="K231" s="8">
        <f>H231*I231*(1-J231)</f>
        <v/>
      </c>
      <c r="L231" s="6" t="inlineStr">
        <is>
          <t>Credit Card</t>
        </is>
      </c>
    </row>
    <row r="232">
      <c r="A232" s="2" t="inlineStr">
        <is>
          <t>ORD-00231</t>
        </is>
      </c>
      <c r="B232" s="3" t="n">
        <v>45249</v>
      </c>
      <c r="C232" s="2" t="inlineStr">
        <is>
          <t>CUST-0036</t>
        </is>
      </c>
      <c r="D232" s="2" t="inlineStr">
        <is>
          <t>Elijah Jackson</t>
        </is>
      </c>
      <c r="E232" s="2" t="inlineStr">
        <is>
          <t>France</t>
        </is>
      </c>
      <c r="F232" s="2" t="inlineStr">
        <is>
          <t>Smartphone Case</t>
        </is>
      </c>
      <c r="G232" s="2" t="inlineStr">
        <is>
          <t>Electronics</t>
        </is>
      </c>
      <c r="H232" s="2" t="n">
        <v>2</v>
      </c>
      <c r="I232" s="4" t="n">
        <v>14.95</v>
      </c>
      <c r="J232" s="5" t="n">
        <v>0.1</v>
      </c>
      <c r="K232" s="4">
        <f>H232*I232*(1-J232)</f>
        <v/>
      </c>
      <c r="L232" s="2" t="inlineStr">
        <is>
          <t>Credit Card</t>
        </is>
      </c>
    </row>
    <row r="233">
      <c r="A233" s="6" t="inlineStr">
        <is>
          <t>ORD-00232</t>
        </is>
      </c>
      <c r="B233" s="7" t="n">
        <v>45249</v>
      </c>
      <c r="C233" s="6" t="inlineStr">
        <is>
          <t>CUST-0101</t>
        </is>
      </c>
      <c r="D233" s="6" t="inlineStr">
        <is>
          <t>Amelia Schmidt</t>
        </is>
      </c>
      <c r="E233" s="6" t="inlineStr">
        <is>
          <t>USA</t>
        </is>
      </c>
      <c r="F233" s="6" t="inlineStr">
        <is>
          <t>Gym Bag</t>
        </is>
      </c>
      <c r="G233" s="6" t="inlineStr">
        <is>
          <t>Sports</t>
        </is>
      </c>
      <c r="H233" s="6" t="n">
        <v>2</v>
      </c>
      <c r="I233" s="8" t="n">
        <v>34.78</v>
      </c>
      <c r="J233" s="9" t="n">
        <v>0</v>
      </c>
      <c r="K233" s="8">
        <f>H233*I233*(1-J233)</f>
        <v/>
      </c>
      <c r="L233" s="6" t="inlineStr">
        <is>
          <t>Bank Transfer</t>
        </is>
      </c>
    </row>
    <row r="234">
      <c r="A234" s="2" t="inlineStr">
        <is>
          <t>ORD-00233</t>
        </is>
      </c>
      <c r="B234" s="3" t="n">
        <v>45250</v>
      </c>
      <c r="C234" s="2" t="inlineStr">
        <is>
          <t>CUST-0031</t>
        </is>
      </c>
      <c r="D234" s="2" t="inlineStr">
        <is>
          <t>Liam Harris</t>
        </is>
      </c>
      <c r="E234" s="2" t="inlineStr">
        <is>
          <t>UK</t>
        </is>
      </c>
      <c r="F234" s="2" t="inlineStr">
        <is>
          <t>Gym Bag</t>
        </is>
      </c>
      <c r="G234" s="2" t="inlineStr">
        <is>
          <t>Sports</t>
        </is>
      </c>
      <c r="H234" s="2" t="n">
        <v>1</v>
      </c>
      <c r="I234" s="4" t="n">
        <v>30.54</v>
      </c>
      <c r="J234" s="5" t="n">
        <v>0.05</v>
      </c>
      <c r="K234" s="4">
        <f>H234*I234*(1-J234)</f>
        <v/>
      </c>
      <c r="L234" s="2" t="inlineStr">
        <is>
          <t>PayPal</t>
        </is>
      </c>
    </row>
    <row r="235">
      <c r="A235" s="6" t="inlineStr">
        <is>
          <t>ORD-00234</t>
        </is>
      </c>
      <c r="B235" s="7" t="n">
        <v>45253</v>
      </c>
      <c r="C235" s="6" t="inlineStr">
        <is>
          <t>CUST-0089</t>
        </is>
      </c>
      <c r="D235" s="6" t="inlineStr">
        <is>
          <t>Ayse Fraser</t>
        </is>
      </c>
      <c r="E235" s="6" t="inlineStr">
        <is>
          <t>USA</t>
        </is>
      </c>
      <c r="F235" s="6" t="inlineStr">
        <is>
          <t>Data Science Handbook</t>
        </is>
      </c>
      <c r="G235" s="6" t="inlineStr">
        <is>
          <t>Books</t>
        </is>
      </c>
      <c r="H235" s="6" t="n">
        <v>2</v>
      </c>
      <c r="I235" s="8" t="n">
        <v>54.01</v>
      </c>
      <c r="J235" s="9" t="n">
        <v>0</v>
      </c>
      <c r="K235" s="8">
        <f>H235*I235*(1-J235)</f>
        <v/>
      </c>
      <c r="L235" s="6" t="inlineStr">
        <is>
          <t>Credit Card</t>
        </is>
      </c>
    </row>
    <row r="236">
      <c r="A236" s="2" t="inlineStr">
        <is>
          <t>ORD-00235</t>
        </is>
      </c>
      <c r="B236" s="3" t="n">
        <v>45253</v>
      </c>
      <c r="C236" s="2" t="inlineStr">
        <is>
          <t>CUST-0075</t>
        </is>
      </c>
      <c r="D236" s="2" t="inlineStr">
        <is>
          <t>Elijah Bernard</t>
        </is>
      </c>
      <c r="E236" s="2" t="inlineStr">
        <is>
          <t>Germany</t>
        </is>
      </c>
      <c r="F236" s="2" t="inlineStr">
        <is>
          <t>Gym Bag</t>
        </is>
      </c>
      <c r="G236" s="2" t="inlineStr">
        <is>
          <t>Sports</t>
        </is>
      </c>
      <c r="H236" s="2" t="n">
        <v>2</v>
      </c>
      <c r="I236" s="4" t="n">
        <v>39.72</v>
      </c>
      <c r="J236" s="5" t="n">
        <v>0</v>
      </c>
      <c r="K236" s="4">
        <f>H236*I236*(1-J236)</f>
        <v/>
      </c>
      <c r="L236" s="2" t="inlineStr">
        <is>
          <t>Credit Card</t>
        </is>
      </c>
    </row>
    <row r="237">
      <c r="A237" s="6" t="inlineStr">
        <is>
          <t>ORD-00236</t>
        </is>
      </c>
      <c r="B237" s="7" t="n">
        <v>45254</v>
      </c>
      <c r="C237" s="6" t="inlineStr">
        <is>
          <t>CUST-0070</t>
        </is>
      </c>
      <c r="D237" s="6" t="inlineStr">
        <is>
          <t>Fatma Moore</t>
        </is>
      </c>
      <c r="E237" s="6" t="inlineStr">
        <is>
          <t>USA</t>
        </is>
      </c>
      <c r="F237" s="6" t="inlineStr">
        <is>
          <t>Jump Rope</t>
        </is>
      </c>
      <c r="G237" s="6" t="inlineStr">
        <is>
          <t>Sports</t>
        </is>
      </c>
      <c r="H237" s="6" t="n">
        <v>2</v>
      </c>
      <c r="I237" s="8" t="n">
        <v>12.46</v>
      </c>
      <c r="J237" s="9" t="n">
        <v>0.2</v>
      </c>
      <c r="K237" s="8">
        <f>H237*I237*(1-J237)</f>
        <v/>
      </c>
      <c r="L237" s="6" t="inlineStr">
        <is>
          <t>Credit Card</t>
        </is>
      </c>
    </row>
    <row r="238">
      <c r="A238" s="2" t="inlineStr">
        <is>
          <t>ORD-00237</t>
        </is>
      </c>
      <c r="B238" s="3" t="n">
        <v>45257</v>
      </c>
      <c r="C238" s="2" t="inlineStr">
        <is>
          <t>CUST-0063</t>
        </is>
      </c>
      <c r="D238" s="2" t="inlineStr">
        <is>
          <t>Marie Tremblay</t>
        </is>
      </c>
      <c r="E238" s="2" t="inlineStr">
        <is>
          <t>UK</t>
        </is>
      </c>
      <c r="F238" s="2" t="inlineStr">
        <is>
          <t>Yoga Mat</t>
        </is>
      </c>
      <c r="G238" s="2" t="inlineStr">
        <is>
          <t>Sports</t>
        </is>
      </c>
      <c r="H238" s="2" t="n">
        <v>2</v>
      </c>
      <c r="I238" s="4" t="n">
        <v>28.36</v>
      </c>
      <c r="J238" s="5" t="n">
        <v>0.1</v>
      </c>
      <c r="K238" s="4">
        <f>H238*I238*(1-J238)</f>
        <v/>
      </c>
      <c r="L238" s="2" t="inlineStr">
        <is>
          <t>PayPal</t>
        </is>
      </c>
    </row>
    <row r="239">
      <c r="A239" s="6" t="inlineStr">
        <is>
          <t>ORD-00238</t>
        </is>
      </c>
      <c r="B239" s="7" t="n">
        <v>45259</v>
      </c>
      <c r="C239" s="6" t="inlineStr">
        <is>
          <t>CUST-0146</t>
        </is>
      </c>
      <c r="D239" s="6" t="inlineStr">
        <is>
          <t>Noah Lee</t>
        </is>
      </c>
      <c r="E239" s="6" t="inlineStr">
        <is>
          <t>UK</t>
        </is>
      </c>
      <c r="F239" s="6" t="inlineStr">
        <is>
          <t>Scented Candle</t>
        </is>
      </c>
      <c r="G239" s="6" t="inlineStr">
        <is>
          <t>Home &amp; Garden</t>
        </is>
      </c>
      <c r="H239" s="6" t="n">
        <v>3</v>
      </c>
      <c r="I239" s="8" t="n">
        <v>12.32</v>
      </c>
      <c r="J239" s="9" t="n">
        <v>0</v>
      </c>
      <c r="K239" s="8">
        <f>H239*I239*(1-J239)</f>
        <v/>
      </c>
      <c r="L239" s="6" t="inlineStr">
        <is>
          <t>Credit Card</t>
        </is>
      </c>
    </row>
    <row r="240">
      <c r="A240" s="2" t="inlineStr">
        <is>
          <t>ORD-00239</t>
        </is>
      </c>
      <c r="B240" s="3" t="n">
        <v>45260</v>
      </c>
      <c r="C240" s="2" t="inlineStr">
        <is>
          <t>CUST-0122</t>
        </is>
      </c>
      <c r="D240" s="2" t="inlineStr">
        <is>
          <t>Alexander Ozturk</t>
        </is>
      </c>
      <c r="E240" s="2" t="inlineStr">
        <is>
          <t>Germany</t>
        </is>
      </c>
      <c r="F240" s="2" t="inlineStr">
        <is>
          <t>Wool Scarf</t>
        </is>
      </c>
      <c r="G240" s="2" t="inlineStr">
        <is>
          <t>Clothing</t>
        </is>
      </c>
      <c r="H240" s="2" t="n">
        <v>2</v>
      </c>
      <c r="I240" s="4" t="n">
        <v>43.36</v>
      </c>
      <c r="J240" s="5" t="n">
        <v>0</v>
      </c>
      <c r="K240" s="4">
        <f>H240*I240*(1-J240)</f>
        <v/>
      </c>
      <c r="L240" s="2" t="inlineStr">
        <is>
          <t>Bank Transfer</t>
        </is>
      </c>
    </row>
    <row r="241">
      <c r="A241" s="6" t="inlineStr">
        <is>
          <t>ORD-00240</t>
        </is>
      </c>
      <c r="B241" s="7" t="n">
        <v>45265</v>
      </c>
      <c r="C241" s="6" t="inlineStr">
        <is>
          <t>CUST-0120</t>
        </is>
      </c>
      <c r="D241" s="6" t="inlineStr">
        <is>
          <t>Henry Tremblay</t>
        </is>
      </c>
      <c r="E241" s="6" t="inlineStr">
        <is>
          <t>USA</t>
        </is>
      </c>
      <c r="F241" s="6" t="inlineStr">
        <is>
          <t>Resistance Bands</t>
        </is>
      </c>
      <c r="G241" s="6" t="inlineStr">
        <is>
          <t>Sports</t>
        </is>
      </c>
      <c r="H241" s="6" t="n">
        <v>4</v>
      </c>
      <c r="I241" s="8" t="n">
        <v>10.79</v>
      </c>
      <c r="J241" s="9" t="n">
        <v>0.05</v>
      </c>
      <c r="K241" s="8">
        <f>H241*I241*(1-J241)</f>
        <v/>
      </c>
      <c r="L241" s="6" t="inlineStr">
        <is>
          <t>PayPal</t>
        </is>
      </c>
    </row>
    <row r="242">
      <c r="A242" s="2" t="inlineStr">
        <is>
          <t>ORD-00241</t>
        </is>
      </c>
      <c r="B242" s="3" t="n">
        <v>45266</v>
      </c>
      <c r="C242" s="2" t="inlineStr">
        <is>
          <t>CUST-0032</t>
        </is>
      </c>
      <c r="D242" s="2" t="inlineStr">
        <is>
          <t>Noah Thomas</t>
        </is>
      </c>
      <c r="E242" s="2" t="inlineStr">
        <is>
          <t>Canada</t>
        </is>
      </c>
      <c r="F242" s="2" t="inlineStr">
        <is>
          <t>Smart Watch Band</t>
        </is>
      </c>
      <c r="G242" s="2" t="inlineStr">
        <is>
          <t>Electronics</t>
        </is>
      </c>
      <c r="H242" s="2" t="n">
        <v>4</v>
      </c>
      <c r="I242" s="4" t="n">
        <v>14.1</v>
      </c>
      <c r="J242" s="5" t="n">
        <v>0.05</v>
      </c>
      <c r="K242" s="4">
        <f>H242*I242*(1-J242)</f>
        <v/>
      </c>
      <c r="L242" s="2" t="inlineStr">
        <is>
          <t>PayPal</t>
        </is>
      </c>
    </row>
    <row r="243">
      <c r="A243" s="6" t="inlineStr">
        <is>
          <t>ORD-00242</t>
        </is>
      </c>
      <c r="B243" s="7" t="n">
        <v>45266</v>
      </c>
      <c r="C243" s="6" t="inlineStr">
        <is>
          <t>CUST-0096</t>
        </is>
      </c>
      <c r="D243" s="6" t="inlineStr">
        <is>
          <t>Pierre Brown</t>
        </is>
      </c>
      <c r="E243" s="6" t="inlineStr">
        <is>
          <t>France</t>
        </is>
      </c>
      <c r="F243" s="6" t="inlineStr">
        <is>
          <t>Running Shoes</t>
        </is>
      </c>
      <c r="G243" s="6" t="inlineStr">
        <is>
          <t>Clothing</t>
        </is>
      </c>
      <c r="H243" s="6" t="n">
        <v>1</v>
      </c>
      <c r="I243" s="8" t="n">
        <v>92.45</v>
      </c>
      <c r="J243" s="9" t="n">
        <v>0</v>
      </c>
      <c r="K243" s="8">
        <f>H243*I243*(1-J243)</f>
        <v/>
      </c>
      <c r="L243" s="6" t="inlineStr">
        <is>
          <t>PayPal</t>
        </is>
      </c>
    </row>
    <row r="244">
      <c r="A244" s="2" t="inlineStr">
        <is>
          <t>ORD-00243</t>
        </is>
      </c>
      <c r="B244" s="3" t="n">
        <v>45267</v>
      </c>
      <c r="C244" s="2" t="inlineStr">
        <is>
          <t>CUST-0035</t>
        </is>
      </c>
      <c r="D244" s="2" t="inlineStr">
        <is>
          <t>Claire Campbell</t>
        </is>
      </c>
      <c r="E244" s="2" t="inlineStr">
        <is>
          <t>USA</t>
        </is>
      </c>
      <c r="F244" s="2" t="inlineStr">
        <is>
          <t>Wireless Mouse</t>
        </is>
      </c>
      <c r="G244" s="2" t="inlineStr">
        <is>
          <t>Electronics</t>
        </is>
      </c>
      <c r="H244" s="2" t="n">
        <v>1</v>
      </c>
      <c r="I244" s="4" t="n">
        <v>35.33</v>
      </c>
      <c r="J244" s="5" t="n">
        <v>0.1</v>
      </c>
      <c r="K244" s="4">
        <f>H244*I244*(1-J244)</f>
        <v/>
      </c>
      <c r="L244" s="2" t="inlineStr">
        <is>
          <t>Credit Card</t>
        </is>
      </c>
    </row>
    <row r="245">
      <c r="A245" s="6" t="inlineStr">
        <is>
          <t>ORD-00244</t>
        </is>
      </c>
      <c r="B245" s="7" t="n">
        <v>45267</v>
      </c>
      <c r="C245" s="6" t="inlineStr">
        <is>
          <t>CUST-0078</t>
        </is>
      </c>
      <c r="D245" s="6" t="inlineStr">
        <is>
          <t>Scarlett Yilmaz</t>
        </is>
      </c>
      <c r="E245" s="6" t="inlineStr">
        <is>
          <t>UK</t>
        </is>
      </c>
      <c r="F245" s="6" t="inlineStr">
        <is>
          <t>Python Programming</t>
        </is>
      </c>
      <c r="G245" s="6" t="inlineStr">
        <is>
          <t>Books</t>
        </is>
      </c>
      <c r="H245" s="6" t="n">
        <v>1</v>
      </c>
      <c r="I245" s="8" t="n">
        <v>34.23</v>
      </c>
      <c r="J245" s="9" t="n">
        <v>0.1</v>
      </c>
      <c r="K245" s="8">
        <f>H245*I245*(1-J245)</f>
        <v/>
      </c>
      <c r="L245" s="6" t="inlineStr">
        <is>
          <t>PayPal</t>
        </is>
      </c>
    </row>
    <row r="246">
      <c r="A246" s="2" t="inlineStr">
        <is>
          <t>ORD-00245</t>
        </is>
      </c>
      <c r="B246" s="3" t="n">
        <v>45270</v>
      </c>
      <c r="C246" s="2" t="inlineStr">
        <is>
          <t>CUST-0024</t>
        </is>
      </c>
      <c r="D246" s="2" t="inlineStr">
        <is>
          <t>Robert Lee</t>
        </is>
      </c>
      <c r="E246" s="2" t="inlineStr">
        <is>
          <t>France</t>
        </is>
      </c>
      <c r="F246" s="2" t="inlineStr">
        <is>
          <t>Resistance Bands</t>
        </is>
      </c>
      <c r="G246" s="2" t="inlineStr">
        <is>
          <t>Sports</t>
        </is>
      </c>
      <c r="H246" s="2" t="n">
        <v>1</v>
      </c>
      <c r="I246" s="4" t="n">
        <v>23.45</v>
      </c>
      <c r="J246" s="5" t="n">
        <v>0</v>
      </c>
      <c r="K246" s="4">
        <f>H246*I246*(1-J246)</f>
        <v/>
      </c>
      <c r="L246" s="2" t="inlineStr">
        <is>
          <t>Credit Card</t>
        </is>
      </c>
    </row>
    <row r="247">
      <c r="A247" s="6" t="inlineStr">
        <is>
          <t>ORD-00246</t>
        </is>
      </c>
      <c r="B247" s="7" t="n">
        <v>45273</v>
      </c>
      <c r="C247" s="6" t="inlineStr">
        <is>
          <t>CUST-0124</t>
        </is>
      </c>
      <c r="D247" s="6" t="inlineStr">
        <is>
          <t>Harper Williams</t>
        </is>
      </c>
      <c r="E247" s="6" t="inlineStr">
        <is>
          <t>USA</t>
        </is>
      </c>
      <c r="F247" s="6" t="inlineStr">
        <is>
          <t>Fitness Tracker</t>
        </is>
      </c>
      <c r="G247" s="6" t="inlineStr">
        <is>
          <t>Sports</t>
        </is>
      </c>
      <c r="H247" s="6" t="n">
        <v>1</v>
      </c>
      <c r="I247" s="8" t="n">
        <v>77.11</v>
      </c>
      <c r="J247" s="9" t="n">
        <v>0.15</v>
      </c>
      <c r="K247" s="8">
        <f>H247*I247*(1-J247)</f>
        <v/>
      </c>
      <c r="L247" s="6" t="inlineStr">
        <is>
          <t>Credit Card</t>
        </is>
      </c>
    </row>
    <row r="248">
      <c r="A248" s="2" t="inlineStr">
        <is>
          <t>ORD-00247</t>
        </is>
      </c>
      <c r="B248" s="3" t="n">
        <v>45273</v>
      </c>
      <c r="C248" s="2" t="inlineStr">
        <is>
          <t>CUST-0141</t>
        </is>
      </c>
      <c r="D248" s="2" t="inlineStr">
        <is>
          <t>William Miller</t>
        </is>
      </c>
      <c r="E248" s="2" t="inlineStr">
        <is>
          <t>UK</t>
        </is>
      </c>
      <c r="F248" s="2" t="inlineStr">
        <is>
          <t>Wall Clock</t>
        </is>
      </c>
      <c r="G248" s="2" t="inlineStr">
        <is>
          <t>Home &amp; Garden</t>
        </is>
      </c>
      <c r="H248" s="2" t="n">
        <v>1</v>
      </c>
      <c r="I248" s="4" t="n">
        <v>41.19</v>
      </c>
      <c r="J248" s="5" t="n">
        <v>0.2</v>
      </c>
      <c r="K248" s="4">
        <f>H248*I248*(1-J248)</f>
        <v/>
      </c>
      <c r="L248" s="2" t="inlineStr">
        <is>
          <t>Credit Card</t>
        </is>
      </c>
    </row>
    <row r="249">
      <c r="A249" s="6" t="inlineStr">
        <is>
          <t>ORD-00248</t>
        </is>
      </c>
      <c r="B249" s="7" t="n">
        <v>45274</v>
      </c>
      <c r="C249" s="6" t="inlineStr">
        <is>
          <t>CUST-0143</t>
        </is>
      </c>
      <c r="D249" s="6" t="inlineStr">
        <is>
          <t>Penelope Yilmaz</t>
        </is>
      </c>
      <c r="E249" s="6" t="inlineStr">
        <is>
          <t>UK</t>
        </is>
      </c>
      <c r="F249" s="6" t="inlineStr">
        <is>
          <t>Data Science Handbook</t>
        </is>
      </c>
      <c r="G249" s="6" t="inlineStr">
        <is>
          <t>Books</t>
        </is>
      </c>
      <c r="H249" s="6" t="n">
        <v>2</v>
      </c>
      <c r="I249" s="8" t="n">
        <v>39.97</v>
      </c>
      <c r="J249" s="9" t="n">
        <v>0.05</v>
      </c>
      <c r="K249" s="8">
        <f>H249*I249*(1-J249)</f>
        <v/>
      </c>
      <c r="L249" s="6" t="inlineStr">
        <is>
          <t>Credit Card</t>
        </is>
      </c>
    </row>
    <row r="250">
      <c r="A250" s="2" t="inlineStr">
        <is>
          <t>ORD-00249</t>
        </is>
      </c>
      <c r="B250" s="3" t="n">
        <v>45275</v>
      </c>
      <c r="C250" s="2" t="inlineStr">
        <is>
          <t>CUST-0072</t>
        </is>
      </c>
      <c r="D250" s="2" t="inlineStr">
        <is>
          <t>Noah Williams</t>
        </is>
      </c>
      <c r="E250" s="2" t="inlineStr">
        <is>
          <t>Turkey</t>
        </is>
      </c>
      <c r="F250" s="2" t="inlineStr">
        <is>
          <t>Travel Photography</t>
        </is>
      </c>
      <c r="G250" s="2" t="inlineStr">
        <is>
          <t>Books</t>
        </is>
      </c>
      <c r="H250" s="2" t="n">
        <v>2</v>
      </c>
      <c r="I250" s="4" t="n">
        <v>37.59</v>
      </c>
      <c r="J250" s="5" t="n">
        <v>0.05</v>
      </c>
      <c r="K250" s="4">
        <f>H250*I250*(1-J250)</f>
        <v/>
      </c>
      <c r="L250" s="2" t="inlineStr">
        <is>
          <t>Credit Card</t>
        </is>
      </c>
    </row>
    <row r="251">
      <c r="A251" s="6" t="inlineStr">
        <is>
          <t>ORD-00250</t>
        </is>
      </c>
      <c r="B251" s="7" t="n">
        <v>45276</v>
      </c>
      <c r="C251" s="6" t="inlineStr">
        <is>
          <t>CUST-0125</t>
        </is>
      </c>
      <c r="D251" s="6" t="inlineStr">
        <is>
          <t>Laura Rodriguez</t>
        </is>
      </c>
      <c r="E251" s="6" t="inlineStr">
        <is>
          <t>France</t>
        </is>
      </c>
      <c r="F251" s="6" t="inlineStr">
        <is>
          <t>USB-C Hub</t>
        </is>
      </c>
      <c r="G251" s="6" t="inlineStr">
        <is>
          <t>Electronics</t>
        </is>
      </c>
      <c r="H251" s="6" t="n">
        <v>1</v>
      </c>
      <c r="I251" s="8" t="n">
        <v>30.41</v>
      </c>
      <c r="J251" s="9" t="n">
        <v>0.15</v>
      </c>
      <c r="K251" s="8">
        <f>H251*I251*(1-J251)</f>
        <v/>
      </c>
      <c r="L251" s="6" t="inlineStr">
        <is>
          <t>Credit Card</t>
        </is>
      </c>
    </row>
    <row r="252">
      <c r="A252" s="2" t="inlineStr">
        <is>
          <t>ORD-00251</t>
        </is>
      </c>
      <c r="B252" s="3" t="n">
        <v>45276</v>
      </c>
      <c r="C252" s="2" t="inlineStr">
        <is>
          <t>CUST-0091</t>
        </is>
      </c>
      <c r="D252" s="2" t="inlineStr">
        <is>
          <t>James Mueller</t>
        </is>
      </c>
      <c r="E252" s="2" t="inlineStr">
        <is>
          <t>USA</t>
        </is>
      </c>
      <c r="F252" s="2" t="inlineStr">
        <is>
          <t>Water Bottle</t>
        </is>
      </c>
      <c r="G252" s="2" t="inlineStr">
        <is>
          <t>Sports</t>
        </is>
      </c>
      <c r="H252" s="2" t="n">
        <v>1</v>
      </c>
      <c r="I252" s="4" t="n">
        <v>22.3</v>
      </c>
      <c r="J252" s="5" t="n">
        <v>0</v>
      </c>
      <c r="K252" s="4">
        <f>H252*I252*(1-J252)</f>
        <v/>
      </c>
      <c r="L252" s="2" t="inlineStr">
        <is>
          <t>Bank Transfer</t>
        </is>
      </c>
    </row>
    <row r="253">
      <c r="A253" s="6" t="inlineStr">
        <is>
          <t>ORD-00252</t>
        </is>
      </c>
      <c r="B253" s="7" t="n">
        <v>45277</v>
      </c>
      <c r="C253" s="6" t="inlineStr">
        <is>
          <t>CUST-0047</t>
        </is>
      </c>
      <c r="D253" s="6" t="inlineStr">
        <is>
          <t>Thomas Lee</t>
        </is>
      </c>
      <c r="E253" s="6" t="inlineStr">
        <is>
          <t>Turkey</t>
        </is>
      </c>
      <c r="F253" s="6" t="inlineStr">
        <is>
          <t>Power Bank</t>
        </is>
      </c>
      <c r="G253" s="6" t="inlineStr">
        <is>
          <t>Electronics</t>
        </is>
      </c>
      <c r="H253" s="6" t="n">
        <v>1</v>
      </c>
      <c r="I253" s="8" t="n">
        <v>58.48</v>
      </c>
      <c r="J253" s="9" t="n">
        <v>0</v>
      </c>
      <c r="K253" s="8">
        <f>H253*I253*(1-J253)</f>
        <v/>
      </c>
      <c r="L253" s="6" t="inlineStr">
        <is>
          <t>Bank Transfer</t>
        </is>
      </c>
    </row>
    <row r="254">
      <c r="A254" s="2" t="inlineStr">
        <is>
          <t>ORD-00253</t>
        </is>
      </c>
      <c r="B254" s="3" t="n">
        <v>45280</v>
      </c>
      <c r="C254" s="2" t="inlineStr">
        <is>
          <t>CUST-0077</t>
        </is>
      </c>
      <c r="D254" s="2" t="inlineStr">
        <is>
          <t>Mason Miller</t>
        </is>
      </c>
      <c r="E254" s="2" t="inlineStr">
        <is>
          <t>USA</t>
        </is>
      </c>
      <c r="F254" s="2" t="inlineStr">
        <is>
          <t>LED Desk Lamp</t>
        </is>
      </c>
      <c r="G254" s="2" t="inlineStr">
        <is>
          <t>Home &amp; Garden</t>
        </is>
      </c>
      <c r="H254" s="2" t="n">
        <v>2</v>
      </c>
      <c r="I254" s="4" t="n">
        <v>49.15</v>
      </c>
      <c r="J254" s="5" t="n">
        <v>0</v>
      </c>
      <c r="K254" s="4">
        <f>H254*I254*(1-J254)</f>
        <v/>
      </c>
      <c r="L254" s="2" t="inlineStr">
        <is>
          <t>Bank Transfer</t>
        </is>
      </c>
    </row>
    <row r="255">
      <c r="A255" s="6" t="inlineStr">
        <is>
          <t>ORD-00254</t>
        </is>
      </c>
      <c r="B255" s="7" t="n">
        <v>45281</v>
      </c>
      <c r="C255" s="6" t="inlineStr">
        <is>
          <t>CUST-0040</t>
        </is>
      </c>
      <c r="D255" s="6" t="inlineStr">
        <is>
          <t>Ava Brown</t>
        </is>
      </c>
      <c r="E255" s="6" t="inlineStr">
        <is>
          <t>Turkey</t>
        </is>
      </c>
      <c r="F255" s="6" t="inlineStr">
        <is>
          <t>Leather Belt</t>
        </is>
      </c>
      <c r="G255" s="6" t="inlineStr">
        <is>
          <t>Clothing</t>
        </is>
      </c>
      <c r="H255" s="6" t="n">
        <v>1</v>
      </c>
      <c r="I255" s="8" t="n">
        <v>47.95</v>
      </c>
      <c r="J255" s="9" t="n">
        <v>0.1</v>
      </c>
      <c r="K255" s="8">
        <f>H255*I255*(1-J255)</f>
        <v/>
      </c>
      <c r="L255" s="6" t="inlineStr">
        <is>
          <t>PayPal</t>
        </is>
      </c>
    </row>
    <row r="256">
      <c r="A256" s="2" t="inlineStr">
        <is>
          <t>ORD-00255</t>
        </is>
      </c>
      <c r="B256" s="3" t="n">
        <v>45281</v>
      </c>
      <c r="C256" s="2" t="inlineStr">
        <is>
          <t>CUST-0014</t>
        </is>
      </c>
      <c r="D256" s="2" t="inlineStr">
        <is>
          <t>Jack Tremblay</t>
        </is>
      </c>
      <c r="E256" s="2" t="inlineStr">
        <is>
          <t>USA</t>
        </is>
      </c>
      <c r="F256" s="2" t="inlineStr">
        <is>
          <t>Bluetooth Speaker</t>
        </is>
      </c>
      <c r="G256" s="2" t="inlineStr">
        <is>
          <t>Electronics</t>
        </is>
      </c>
      <c r="H256" s="2" t="n">
        <v>1</v>
      </c>
      <c r="I256" s="4" t="n">
        <v>80.31</v>
      </c>
      <c r="J256" s="5" t="n">
        <v>0.1</v>
      </c>
      <c r="K256" s="4">
        <f>H256*I256*(1-J256)</f>
        <v/>
      </c>
      <c r="L256" s="2" t="inlineStr">
        <is>
          <t>Bank Transfer</t>
        </is>
      </c>
    </row>
    <row r="257">
      <c r="A257" s="6" t="inlineStr">
        <is>
          <t>ORD-00256</t>
        </is>
      </c>
      <c r="B257" s="7" t="n">
        <v>45284</v>
      </c>
      <c r="C257" s="6" t="inlineStr">
        <is>
          <t>CUST-0118</t>
        </is>
      </c>
      <c r="D257" s="6" t="inlineStr">
        <is>
          <t>Oliver Rodriguez</t>
        </is>
      </c>
      <c r="E257" s="6" t="inlineStr">
        <is>
          <t>USA</t>
        </is>
      </c>
      <c r="F257" s="6" t="inlineStr">
        <is>
          <t>Winter Jacket</t>
        </is>
      </c>
      <c r="G257" s="6" t="inlineStr">
        <is>
          <t>Clothing</t>
        </is>
      </c>
      <c r="H257" s="6" t="n">
        <v>2</v>
      </c>
      <c r="I257" s="8" t="n">
        <v>94.16</v>
      </c>
      <c r="J257" s="9" t="n">
        <v>0.1</v>
      </c>
      <c r="K257" s="8">
        <f>H257*I257*(1-J257)</f>
        <v/>
      </c>
      <c r="L257" s="6" t="inlineStr">
        <is>
          <t>PayPal</t>
        </is>
      </c>
    </row>
    <row r="258">
      <c r="A258" s="2" t="inlineStr">
        <is>
          <t>ORD-00257</t>
        </is>
      </c>
      <c r="B258" s="3" t="n">
        <v>45285</v>
      </c>
      <c r="C258" s="2" t="inlineStr">
        <is>
          <t>CUST-0089</t>
        </is>
      </c>
      <c r="D258" s="2" t="inlineStr">
        <is>
          <t>Ayse Fraser</t>
        </is>
      </c>
      <c r="E258" s="2" t="inlineStr">
        <is>
          <t>USA</t>
        </is>
      </c>
      <c r="F258" s="2" t="inlineStr">
        <is>
          <t>Laptop Stand</t>
        </is>
      </c>
      <c r="G258" s="2" t="inlineStr">
        <is>
          <t>Electronics</t>
        </is>
      </c>
      <c r="H258" s="2" t="n">
        <v>2</v>
      </c>
      <c r="I258" s="4" t="n">
        <v>42.46</v>
      </c>
      <c r="J258" s="5" t="n">
        <v>0</v>
      </c>
      <c r="K258" s="4">
        <f>H258*I258*(1-J258)</f>
        <v/>
      </c>
      <c r="L258" s="2" t="inlineStr">
        <is>
          <t>Credit Card</t>
        </is>
      </c>
    </row>
    <row r="259">
      <c r="A259" s="6" t="inlineStr">
        <is>
          <t>ORD-00258</t>
        </is>
      </c>
      <c r="B259" s="7" t="n">
        <v>45286</v>
      </c>
      <c r="C259" s="6" t="inlineStr">
        <is>
          <t>CUST-0002</t>
        </is>
      </c>
      <c r="D259" s="6" t="inlineStr">
        <is>
          <t>Harper Jackson</t>
        </is>
      </c>
      <c r="E259" s="6" t="inlineStr">
        <is>
          <t>USA</t>
        </is>
      </c>
      <c r="F259" s="6" t="inlineStr">
        <is>
          <t>USB-C Hub</t>
        </is>
      </c>
      <c r="G259" s="6" t="inlineStr">
        <is>
          <t>Electronics</t>
        </is>
      </c>
      <c r="H259" s="6" t="n">
        <v>2</v>
      </c>
      <c r="I259" s="8" t="n">
        <v>44.81</v>
      </c>
      <c r="J259" s="9" t="n">
        <v>0</v>
      </c>
      <c r="K259" s="8">
        <f>H259*I259*(1-J259)</f>
        <v/>
      </c>
      <c r="L259" s="6" t="inlineStr">
        <is>
          <t>PayPal</t>
        </is>
      </c>
    </row>
    <row r="260">
      <c r="A260" s="2" t="inlineStr">
        <is>
          <t>ORD-00259</t>
        </is>
      </c>
      <c r="B260" s="3" t="n">
        <v>45287</v>
      </c>
      <c r="C260" s="2" t="inlineStr">
        <is>
          <t>CUST-0027</t>
        </is>
      </c>
      <c r="D260" s="2" t="inlineStr">
        <is>
          <t>Amelia Wilson</t>
        </is>
      </c>
      <c r="E260" s="2" t="inlineStr">
        <is>
          <t>UK</t>
        </is>
      </c>
      <c r="F260" s="2" t="inlineStr">
        <is>
          <t>Plant Pot Set</t>
        </is>
      </c>
      <c r="G260" s="2" t="inlineStr">
        <is>
          <t>Home &amp; Garden</t>
        </is>
      </c>
      <c r="H260" s="2" t="n">
        <v>2</v>
      </c>
      <c r="I260" s="4" t="n">
        <v>18.86</v>
      </c>
      <c r="J260" s="5" t="n">
        <v>0.15</v>
      </c>
      <c r="K260" s="4">
        <f>H260*I260*(1-J260)</f>
        <v/>
      </c>
      <c r="L260" s="2" t="inlineStr">
        <is>
          <t>Credit Card</t>
        </is>
      </c>
    </row>
    <row r="261">
      <c r="A261" s="6" t="inlineStr">
        <is>
          <t>ORD-00260</t>
        </is>
      </c>
      <c r="B261" s="7" t="n">
        <v>45288</v>
      </c>
      <c r="C261" s="6" t="inlineStr">
        <is>
          <t>CUST-0112</t>
        </is>
      </c>
      <c r="D261" s="6" t="inlineStr">
        <is>
          <t>Alexander Rodriguez</t>
        </is>
      </c>
      <c r="E261" s="6" t="inlineStr">
        <is>
          <t>Canada</t>
        </is>
      </c>
      <c r="F261" s="6" t="inlineStr">
        <is>
          <t>Cotton T-Shirt</t>
        </is>
      </c>
      <c r="G261" s="6" t="inlineStr">
        <is>
          <t>Clothing</t>
        </is>
      </c>
      <c r="H261" s="6" t="n">
        <v>2</v>
      </c>
      <c r="I261" s="8" t="n">
        <v>16.49</v>
      </c>
      <c r="J261" s="9" t="n">
        <v>0</v>
      </c>
      <c r="K261" s="8">
        <f>H261*I261*(1-J261)</f>
        <v/>
      </c>
      <c r="L261" s="6" t="inlineStr">
        <is>
          <t>PayPal</t>
        </is>
      </c>
    </row>
    <row r="262">
      <c r="A262" s="2" t="inlineStr">
        <is>
          <t>ORD-00261</t>
        </is>
      </c>
      <c r="B262" s="3" t="n">
        <v>45292</v>
      </c>
      <c r="C262" s="2" t="inlineStr">
        <is>
          <t>CUST-0058</t>
        </is>
      </c>
      <c r="D262" s="2" t="inlineStr">
        <is>
          <t>Evelyn Jackson</t>
        </is>
      </c>
      <c r="E262" s="2" t="inlineStr">
        <is>
          <t>USA</t>
        </is>
      </c>
      <c r="F262" s="2" t="inlineStr">
        <is>
          <t>Resistance Bands</t>
        </is>
      </c>
      <c r="G262" s="2" t="inlineStr">
        <is>
          <t>Sports</t>
        </is>
      </c>
      <c r="H262" s="2" t="n">
        <v>3</v>
      </c>
      <c r="I262" s="4" t="n">
        <v>17.56</v>
      </c>
      <c r="J262" s="5" t="n">
        <v>0</v>
      </c>
      <c r="K262" s="4">
        <f>H262*I262*(1-J262)</f>
        <v/>
      </c>
      <c r="L262" s="2" t="inlineStr">
        <is>
          <t>Credit Card</t>
        </is>
      </c>
    </row>
    <row r="263">
      <c r="A263" s="6" t="inlineStr">
        <is>
          <t>ORD-00262</t>
        </is>
      </c>
      <c r="B263" s="7" t="n">
        <v>45294</v>
      </c>
      <c r="C263" s="6" t="inlineStr">
        <is>
          <t>CUST-0096</t>
        </is>
      </c>
      <c r="D263" s="6" t="inlineStr">
        <is>
          <t>Pierre Brown</t>
        </is>
      </c>
      <c r="E263" s="6" t="inlineStr">
        <is>
          <t>France</t>
        </is>
      </c>
      <c r="F263" s="6" t="inlineStr">
        <is>
          <t>Denim Jeans</t>
        </is>
      </c>
      <c r="G263" s="6" t="inlineStr">
        <is>
          <t>Clothing</t>
        </is>
      </c>
      <c r="H263" s="6" t="n">
        <v>2</v>
      </c>
      <c r="I263" s="8" t="n">
        <v>61.24</v>
      </c>
      <c r="J263" s="9" t="n">
        <v>0.15</v>
      </c>
      <c r="K263" s="8">
        <f>H263*I263*(1-J263)</f>
        <v/>
      </c>
      <c r="L263" s="6" t="inlineStr">
        <is>
          <t>Credit Card</t>
        </is>
      </c>
    </row>
    <row r="264">
      <c r="A264" s="2" t="inlineStr">
        <is>
          <t>ORD-00263</t>
        </is>
      </c>
      <c r="B264" s="3" t="n">
        <v>45294</v>
      </c>
      <c r="C264" s="2" t="inlineStr">
        <is>
          <t>CUST-0003</t>
        </is>
      </c>
      <c r="D264" s="2" t="inlineStr">
        <is>
          <t>Anna Miller</t>
        </is>
      </c>
      <c r="E264" s="2" t="inlineStr">
        <is>
          <t>France</t>
        </is>
      </c>
      <c r="F264" s="2" t="inlineStr">
        <is>
          <t>Plant Pot Set</t>
        </is>
      </c>
      <c r="G264" s="2" t="inlineStr">
        <is>
          <t>Home &amp; Garden</t>
        </is>
      </c>
      <c r="H264" s="2" t="n">
        <v>5</v>
      </c>
      <c r="I264" s="4" t="n">
        <v>35.37</v>
      </c>
      <c r="J264" s="5" t="n">
        <v>0.05</v>
      </c>
      <c r="K264" s="4">
        <f>H264*I264*(1-J264)</f>
        <v/>
      </c>
      <c r="L264" s="2" t="inlineStr">
        <is>
          <t>Credit Card</t>
        </is>
      </c>
    </row>
    <row r="265">
      <c r="A265" s="6" t="inlineStr">
        <is>
          <t>ORD-00264</t>
        </is>
      </c>
      <c r="B265" s="7" t="n">
        <v>45294</v>
      </c>
      <c r="C265" s="6" t="inlineStr">
        <is>
          <t>CUST-0079</t>
        </is>
      </c>
      <c r="D265" s="6" t="inlineStr">
        <is>
          <t>Penelope Brown</t>
        </is>
      </c>
      <c r="E265" s="6" t="inlineStr">
        <is>
          <t>France</t>
        </is>
      </c>
      <c r="F265" s="6" t="inlineStr">
        <is>
          <t>Scented Candle</t>
        </is>
      </c>
      <c r="G265" s="6" t="inlineStr">
        <is>
          <t>Home &amp; Garden</t>
        </is>
      </c>
      <c r="H265" s="6" t="n">
        <v>2</v>
      </c>
      <c r="I265" s="8" t="n">
        <v>12.63</v>
      </c>
      <c r="J265" s="9" t="n">
        <v>0.15</v>
      </c>
      <c r="K265" s="8">
        <f>H265*I265*(1-J265)</f>
        <v/>
      </c>
      <c r="L265" s="6" t="inlineStr">
        <is>
          <t>Bank Transfer</t>
        </is>
      </c>
    </row>
    <row r="266">
      <c r="A266" s="2" t="inlineStr">
        <is>
          <t>ORD-00265</t>
        </is>
      </c>
      <c r="B266" s="3" t="n">
        <v>45296</v>
      </c>
      <c r="C266" s="2" t="inlineStr">
        <is>
          <t>CUST-0001</t>
        </is>
      </c>
      <c r="D266" s="2" t="inlineStr">
        <is>
          <t>Jean Davis</t>
        </is>
      </c>
      <c r="E266" s="2" t="inlineStr">
        <is>
          <t>USA</t>
        </is>
      </c>
      <c r="F266" s="2" t="inlineStr">
        <is>
          <t>Running Shoes</t>
        </is>
      </c>
      <c r="G266" s="2" t="inlineStr">
        <is>
          <t>Clothing</t>
        </is>
      </c>
      <c r="H266" s="2" t="n">
        <v>2</v>
      </c>
      <c r="I266" s="4" t="n">
        <v>117.66</v>
      </c>
      <c r="J266" s="5" t="n">
        <v>0.05</v>
      </c>
      <c r="K266" s="4">
        <f>H266*I266*(1-J266)</f>
        <v/>
      </c>
      <c r="L266" s="2" t="inlineStr">
        <is>
          <t>Credit Card</t>
        </is>
      </c>
    </row>
    <row r="267">
      <c r="A267" s="6" t="inlineStr">
        <is>
          <t>ORD-00266</t>
        </is>
      </c>
      <c r="B267" s="7" t="n">
        <v>45296</v>
      </c>
      <c r="C267" s="6" t="inlineStr">
        <is>
          <t>CUST-0093</t>
        </is>
      </c>
      <c r="D267" s="6" t="inlineStr">
        <is>
          <t>David Weber</t>
        </is>
      </c>
      <c r="E267" s="6" t="inlineStr">
        <is>
          <t>France</t>
        </is>
      </c>
      <c r="F267" s="6" t="inlineStr">
        <is>
          <t>Kitchen Organizer</t>
        </is>
      </c>
      <c r="G267" s="6" t="inlineStr">
        <is>
          <t>Home &amp; Garden</t>
        </is>
      </c>
      <c r="H267" s="6" t="n">
        <v>2</v>
      </c>
      <c r="I267" s="8" t="n">
        <v>28.59</v>
      </c>
      <c r="J267" s="9" t="n">
        <v>0</v>
      </c>
      <c r="K267" s="8">
        <f>H267*I267*(1-J267)</f>
        <v/>
      </c>
      <c r="L267" s="6" t="inlineStr">
        <is>
          <t>PayPal</t>
        </is>
      </c>
    </row>
    <row r="268">
      <c r="A268" s="2" t="inlineStr">
        <is>
          <t>ORD-00267</t>
        </is>
      </c>
      <c r="B268" s="3" t="n">
        <v>45297</v>
      </c>
      <c r="C268" s="2" t="inlineStr">
        <is>
          <t>CUST-0131</t>
        </is>
      </c>
      <c r="D268" s="2" t="inlineStr">
        <is>
          <t>Scarlett Rodriguez</t>
        </is>
      </c>
      <c r="E268" s="2" t="inlineStr">
        <is>
          <t>USA</t>
        </is>
      </c>
      <c r="F268" s="2" t="inlineStr">
        <is>
          <t>Bluetooth Speaker</t>
        </is>
      </c>
      <c r="G268" s="2" t="inlineStr">
        <is>
          <t>Electronics</t>
        </is>
      </c>
      <c r="H268" s="2" t="n">
        <v>1</v>
      </c>
      <c r="I268" s="4" t="n">
        <v>77.51000000000001</v>
      </c>
      <c r="J268" s="5" t="n">
        <v>0.05</v>
      </c>
      <c r="K268" s="4">
        <f>H268*I268*(1-J268)</f>
        <v/>
      </c>
      <c r="L268" s="2" t="inlineStr">
        <is>
          <t>Credit Card</t>
        </is>
      </c>
    </row>
    <row r="269">
      <c r="A269" s="6" t="inlineStr">
        <is>
          <t>ORD-00268</t>
        </is>
      </c>
      <c r="B269" s="7" t="n">
        <v>45297</v>
      </c>
      <c r="C269" s="6" t="inlineStr">
        <is>
          <t>CUST-0067</t>
        </is>
      </c>
      <c r="D269" s="6" t="inlineStr">
        <is>
          <t>Owen Demir</t>
        </is>
      </c>
      <c r="E269" s="6" t="inlineStr">
        <is>
          <t>UK</t>
        </is>
      </c>
      <c r="F269" s="6" t="inlineStr">
        <is>
          <t>Laptop Stand</t>
        </is>
      </c>
      <c r="G269" s="6" t="inlineStr">
        <is>
          <t>Electronics</t>
        </is>
      </c>
      <c r="H269" s="6" t="n">
        <v>2</v>
      </c>
      <c r="I269" s="8" t="n">
        <v>27.1</v>
      </c>
      <c r="J269" s="9" t="n">
        <v>0.1</v>
      </c>
      <c r="K269" s="8">
        <f>H269*I269*(1-J269)</f>
        <v/>
      </c>
      <c r="L269" s="6" t="inlineStr">
        <is>
          <t>Credit Card</t>
        </is>
      </c>
    </row>
    <row r="270">
      <c r="A270" s="2" t="inlineStr">
        <is>
          <t>ORD-00269</t>
        </is>
      </c>
      <c r="B270" s="3" t="n">
        <v>45301</v>
      </c>
      <c r="C270" s="2" t="inlineStr">
        <is>
          <t>CUST-0136</t>
        </is>
      </c>
      <c r="D270" s="2" t="inlineStr">
        <is>
          <t>Amelia Wilson</t>
        </is>
      </c>
      <c r="E270" s="2" t="inlineStr">
        <is>
          <t>Canada</t>
        </is>
      </c>
      <c r="F270" s="2" t="inlineStr">
        <is>
          <t>Kitchen Organizer</t>
        </is>
      </c>
      <c r="G270" s="2" t="inlineStr">
        <is>
          <t>Home &amp; Garden</t>
        </is>
      </c>
      <c r="H270" s="2" t="n">
        <v>1</v>
      </c>
      <c r="I270" s="4" t="n">
        <v>40.75</v>
      </c>
      <c r="J270" s="5" t="n">
        <v>0.15</v>
      </c>
      <c r="K270" s="4">
        <f>H270*I270*(1-J270)</f>
        <v/>
      </c>
      <c r="L270" s="2" t="inlineStr">
        <is>
          <t>Credit Card</t>
        </is>
      </c>
    </row>
    <row r="271">
      <c r="A271" s="6" t="inlineStr">
        <is>
          <t>ORD-00270</t>
        </is>
      </c>
      <c r="B271" s="7" t="n">
        <v>45301</v>
      </c>
      <c r="C271" s="6" t="inlineStr">
        <is>
          <t>CUST-0012</t>
        </is>
      </c>
      <c r="D271" s="6" t="inlineStr">
        <is>
          <t>Thomas Clark</t>
        </is>
      </c>
      <c r="E271" s="6" t="inlineStr">
        <is>
          <t>USA</t>
        </is>
      </c>
      <c r="F271" s="6" t="inlineStr">
        <is>
          <t>Wool Scarf</t>
        </is>
      </c>
      <c r="G271" s="6" t="inlineStr">
        <is>
          <t>Clothing</t>
        </is>
      </c>
      <c r="H271" s="6" t="n">
        <v>1</v>
      </c>
      <c r="I271" s="8" t="n">
        <v>34.04</v>
      </c>
      <c r="J271" s="9" t="n">
        <v>0</v>
      </c>
      <c r="K271" s="8">
        <f>H271*I271*(1-J271)</f>
        <v/>
      </c>
      <c r="L271" s="6" t="inlineStr">
        <is>
          <t>Credit Card</t>
        </is>
      </c>
    </row>
    <row r="272">
      <c r="A272" s="2" t="inlineStr">
        <is>
          <t>ORD-00271</t>
        </is>
      </c>
      <c r="B272" s="3" t="n">
        <v>45301</v>
      </c>
      <c r="C272" s="2" t="inlineStr">
        <is>
          <t>CUST-0071</t>
        </is>
      </c>
      <c r="D272" s="2" t="inlineStr">
        <is>
          <t>Emily Chen</t>
        </is>
      </c>
      <c r="E272" s="2" t="inlineStr">
        <is>
          <t>USA</t>
        </is>
      </c>
      <c r="F272" s="2" t="inlineStr">
        <is>
          <t>Self-Help Guide</t>
        </is>
      </c>
      <c r="G272" s="2" t="inlineStr">
        <is>
          <t>Books</t>
        </is>
      </c>
      <c r="H272" s="2" t="n">
        <v>2</v>
      </c>
      <c r="I272" s="4" t="n">
        <v>22.05</v>
      </c>
      <c r="J272" s="5" t="n">
        <v>0.15</v>
      </c>
      <c r="K272" s="4">
        <f>H272*I272*(1-J272)</f>
        <v/>
      </c>
      <c r="L272" s="2" t="inlineStr">
        <is>
          <t>Credit Card</t>
        </is>
      </c>
    </row>
    <row r="273">
      <c r="A273" s="6" t="inlineStr">
        <is>
          <t>ORD-00272</t>
        </is>
      </c>
      <c r="B273" s="7" t="n">
        <v>45303</v>
      </c>
      <c r="C273" s="6" t="inlineStr">
        <is>
          <t>CUST-0147</t>
        </is>
      </c>
      <c r="D273" s="6" t="inlineStr">
        <is>
          <t>Hans Schmidt</t>
        </is>
      </c>
      <c r="E273" s="6" t="inlineStr">
        <is>
          <t>France</t>
        </is>
      </c>
      <c r="F273" s="6" t="inlineStr">
        <is>
          <t>Self-Help Guide</t>
        </is>
      </c>
      <c r="G273" s="6" t="inlineStr">
        <is>
          <t>Books</t>
        </is>
      </c>
      <c r="H273" s="6" t="n">
        <v>3</v>
      </c>
      <c r="I273" s="8" t="n">
        <v>22.22</v>
      </c>
      <c r="J273" s="9" t="n">
        <v>0.05</v>
      </c>
      <c r="K273" s="8">
        <f>H273*I273*(1-J273)</f>
        <v/>
      </c>
      <c r="L273" s="6" t="inlineStr">
        <is>
          <t>Credit Card</t>
        </is>
      </c>
    </row>
    <row r="274">
      <c r="A274" s="2" t="inlineStr">
        <is>
          <t>ORD-00273</t>
        </is>
      </c>
      <c r="B274" s="3" t="n">
        <v>45304</v>
      </c>
      <c r="C274" s="2" t="inlineStr">
        <is>
          <t>CUST-0043</t>
        </is>
      </c>
      <c r="D274" s="2" t="inlineStr">
        <is>
          <t>Daniel Mueller</t>
        </is>
      </c>
      <c r="E274" s="2" t="inlineStr">
        <is>
          <t>Germany</t>
        </is>
      </c>
      <c r="F274" s="2" t="inlineStr">
        <is>
          <t>Wall Clock</t>
        </is>
      </c>
      <c r="G274" s="2" t="inlineStr">
        <is>
          <t>Home &amp; Garden</t>
        </is>
      </c>
      <c r="H274" s="2" t="n">
        <v>3</v>
      </c>
      <c r="I274" s="4" t="n">
        <v>41.54</v>
      </c>
      <c r="J274" s="5" t="n">
        <v>0</v>
      </c>
      <c r="K274" s="4">
        <f>H274*I274*(1-J274)</f>
        <v/>
      </c>
      <c r="L274" s="2" t="inlineStr">
        <is>
          <t>Credit Card</t>
        </is>
      </c>
    </row>
    <row r="275">
      <c r="A275" s="6" t="inlineStr">
        <is>
          <t>ORD-00274</t>
        </is>
      </c>
      <c r="B275" s="7" t="n">
        <v>45306</v>
      </c>
      <c r="C275" s="6" t="inlineStr">
        <is>
          <t>CUST-0024</t>
        </is>
      </c>
      <c r="D275" s="6" t="inlineStr">
        <is>
          <t>Robert Lee</t>
        </is>
      </c>
      <c r="E275" s="6" t="inlineStr">
        <is>
          <t>France</t>
        </is>
      </c>
      <c r="F275" s="6" t="inlineStr">
        <is>
          <t>Plant Pot Set</t>
        </is>
      </c>
      <c r="G275" s="6" t="inlineStr">
        <is>
          <t>Home &amp; Garden</t>
        </is>
      </c>
      <c r="H275" s="6" t="n">
        <v>1</v>
      </c>
      <c r="I275" s="8" t="n">
        <v>16.28</v>
      </c>
      <c r="J275" s="9" t="n">
        <v>0.1</v>
      </c>
      <c r="K275" s="8">
        <f>H275*I275*(1-J275)</f>
        <v/>
      </c>
      <c r="L275" s="6" t="inlineStr">
        <is>
          <t>Credit Card</t>
        </is>
      </c>
    </row>
    <row r="276">
      <c r="A276" s="2" t="inlineStr">
        <is>
          <t>ORD-00275</t>
        </is>
      </c>
      <c r="B276" s="3" t="n">
        <v>45306</v>
      </c>
      <c r="C276" s="2" t="inlineStr">
        <is>
          <t>CUST-0144</t>
        </is>
      </c>
      <c r="D276" s="2" t="inlineStr">
        <is>
          <t>Ethan Moore</t>
        </is>
      </c>
      <c r="E276" s="2" t="inlineStr">
        <is>
          <t>USA</t>
        </is>
      </c>
      <c r="F276" s="2" t="inlineStr">
        <is>
          <t>Kitchen Organizer</t>
        </is>
      </c>
      <c r="G276" s="2" t="inlineStr">
        <is>
          <t>Home &amp; Garden</t>
        </is>
      </c>
      <c r="H276" s="2" t="n">
        <v>2</v>
      </c>
      <c r="I276" s="4" t="n">
        <v>44.7</v>
      </c>
      <c r="J276" s="5" t="n">
        <v>0.1</v>
      </c>
      <c r="K276" s="4">
        <f>H276*I276*(1-J276)</f>
        <v/>
      </c>
      <c r="L276" s="2" t="inlineStr">
        <is>
          <t>Credit Card</t>
        </is>
      </c>
    </row>
    <row r="277">
      <c r="A277" s="6" t="inlineStr">
        <is>
          <t>ORD-00276</t>
        </is>
      </c>
      <c r="B277" s="7" t="n">
        <v>45309</v>
      </c>
      <c r="C277" s="6" t="inlineStr">
        <is>
          <t>CUST-0102</t>
        </is>
      </c>
      <c r="D277" s="6" t="inlineStr">
        <is>
          <t>Ahmed Jackson</t>
        </is>
      </c>
      <c r="E277" s="6" t="inlineStr">
        <is>
          <t>Germany</t>
        </is>
      </c>
      <c r="F277" s="6" t="inlineStr">
        <is>
          <t>Kitchen Organizer</t>
        </is>
      </c>
      <c r="G277" s="6" t="inlineStr">
        <is>
          <t>Home &amp; Garden</t>
        </is>
      </c>
      <c r="H277" s="6" t="n">
        <v>1</v>
      </c>
      <c r="I277" s="8" t="n">
        <v>27.53</v>
      </c>
      <c r="J277" s="9" t="n">
        <v>0</v>
      </c>
      <c r="K277" s="8">
        <f>H277*I277*(1-J277)</f>
        <v/>
      </c>
      <c r="L277" s="6" t="inlineStr">
        <is>
          <t>Bank Transfer</t>
        </is>
      </c>
    </row>
    <row r="278">
      <c r="A278" s="2" t="inlineStr">
        <is>
          <t>ORD-00277</t>
        </is>
      </c>
      <c r="B278" s="3" t="n">
        <v>45310</v>
      </c>
      <c r="C278" s="2" t="inlineStr">
        <is>
          <t>CUST-0132</t>
        </is>
      </c>
      <c r="D278" s="2" t="inlineStr">
        <is>
          <t>Camila Williams</t>
        </is>
      </c>
      <c r="E278" s="2" t="inlineStr">
        <is>
          <t>Turkey</t>
        </is>
      </c>
      <c r="F278" s="2" t="inlineStr">
        <is>
          <t>Fitness Tracker</t>
        </is>
      </c>
      <c r="G278" s="2" t="inlineStr">
        <is>
          <t>Sports</t>
        </is>
      </c>
      <c r="H278" s="2" t="n">
        <v>1</v>
      </c>
      <c r="I278" s="4" t="n">
        <v>54.33</v>
      </c>
      <c r="J278" s="5" t="n">
        <v>0.1</v>
      </c>
      <c r="K278" s="4">
        <f>H278*I278*(1-J278)</f>
        <v/>
      </c>
      <c r="L278" s="2" t="inlineStr">
        <is>
          <t>Credit Card</t>
        </is>
      </c>
    </row>
    <row r="279">
      <c r="A279" s="6" t="inlineStr">
        <is>
          <t>ORD-00278</t>
        </is>
      </c>
      <c r="B279" s="7" t="n">
        <v>45311</v>
      </c>
      <c r="C279" s="6" t="inlineStr">
        <is>
          <t>CUST-0111</t>
        </is>
      </c>
      <c r="D279" s="6" t="inlineStr">
        <is>
          <t>Noah Fischer</t>
        </is>
      </c>
      <c r="E279" s="6" t="inlineStr">
        <is>
          <t>USA</t>
        </is>
      </c>
      <c r="F279" s="6" t="inlineStr">
        <is>
          <t>Power Bank</t>
        </is>
      </c>
      <c r="G279" s="6" t="inlineStr">
        <is>
          <t>Electronics</t>
        </is>
      </c>
      <c r="H279" s="6" t="n">
        <v>2</v>
      </c>
      <c r="I279" s="8" t="n">
        <v>23.42</v>
      </c>
      <c r="J279" s="9" t="n">
        <v>0.15</v>
      </c>
      <c r="K279" s="8">
        <f>H279*I279*(1-J279)</f>
        <v/>
      </c>
      <c r="L279" s="6" t="inlineStr">
        <is>
          <t>PayPal</t>
        </is>
      </c>
    </row>
    <row r="280">
      <c r="A280" s="2" t="inlineStr">
        <is>
          <t>ORD-00279</t>
        </is>
      </c>
      <c r="B280" s="3" t="n">
        <v>45314</v>
      </c>
      <c r="C280" s="2" t="inlineStr">
        <is>
          <t>CUST-0099</t>
        </is>
      </c>
      <c r="D280" s="2" t="inlineStr">
        <is>
          <t>Hans Garcia</t>
        </is>
      </c>
      <c r="E280" s="2" t="inlineStr">
        <is>
          <t>Turkey</t>
        </is>
      </c>
      <c r="F280" s="2" t="inlineStr">
        <is>
          <t>Wireless Headphones</t>
        </is>
      </c>
      <c r="G280" s="2" t="inlineStr">
        <is>
          <t>Electronics</t>
        </is>
      </c>
      <c r="H280" s="2" t="n">
        <v>4</v>
      </c>
      <c r="I280" s="4" t="n">
        <v>66.18000000000001</v>
      </c>
      <c r="J280" s="5" t="n">
        <v>0.05</v>
      </c>
      <c r="K280" s="4">
        <f>H280*I280*(1-J280)</f>
        <v/>
      </c>
      <c r="L280" s="2" t="inlineStr">
        <is>
          <t>Credit Card</t>
        </is>
      </c>
    </row>
    <row r="281">
      <c r="A281" s="6" t="inlineStr">
        <is>
          <t>ORD-00280</t>
        </is>
      </c>
      <c r="B281" s="7" t="n">
        <v>45315</v>
      </c>
      <c r="C281" s="6" t="inlineStr">
        <is>
          <t>CUST-0146</t>
        </is>
      </c>
      <c r="D281" s="6" t="inlineStr">
        <is>
          <t>Noah Lee</t>
        </is>
      </c>
      <c r="E281" s="6" t="inlineStr">
        <is>
          <t>UK</t>
        </is>
      </c>
      <c r="F281" s="6" t="inlineStr">
        <is>
          <t>Fitness Tracker</t>
        </is>
      </c>
      <c r="G281" s="6" t="inlineStr">
        <is>
          <t>Sports</t>
        </is>
      </c>
      <c r="H281" s="6" t="n">
        <v>4</v>
      </c>
      <c r="I281" s="8" t="n">
        <v>57.52</v>
      </c>
      <c r="J281" s="9" t="n">
        <v>0</v>
      </c>
      <c r="K281" s="8">
        <f>H281*I281*(1-J281)</f>
        <v/>
      </c>
      <c r="L281" s="6" t="inlineStr">
        <is>
          <t>PayPal</t>
        </is>
      </c>
    </row>
    <row r="282">
      <c r="A282" s="2" t="inlineStr">
        <is>
          <t>ORD-00281</t>
        </is>
      </c>
      <c r="B282" s="3" t="n">
        <v>45316</v>
      </c>
      <c r="C282" s="2" t="inlineStr">
        <is>
          <t>CUST-0120</t>
        </is>
      </c>
      <c r="D282" s="2" t="inlineStr">
        <is>
          <t>Henry Tremblay</t>
        </is>
      </c>
      <c r="E282" s="2" t="inlineStr">
        <is>
          <t>USA</t>
        </is>
      </c>
      <c r="F282" s="2" t="inlineStr">
        <is>
          <t>Kitchen Organizer</t>
        </is>
      </c>
      <c r="G282" s="2" t="inlineStr">
        <is>
          <t>Home &amp; Garden</t>
        </is>
      </c>
      <c r="H282" s="2" t="n">
        <v>1</v>
      </c>
      <c r="I282" s="4" t="n">
        <v>27.7</v>
      </c>
      <c r="J282" s="5" t="n">
        <v>0.15</v>
      </c>
      <c r="K282" s="4">
        <f>H282*I282*(1-J282)</f>
        <v/>
      </c>
      <c r="L282" s="2" t="inlineStr">
        <is>
          <t>Credit Card</t>
        </is>
      </c>
    </row>
    <row r="283">
      <c r="A283" s="6" t="inlineStr">
        <is>
          <t>ORD-00282</t>
        </is>
      </c>
      <c r="B283" s="7" t="n">
        <v>45317</v>
      </c>
      <c r="C283" s="6" t="inlineStr">
        <is>
          <t>CUST-0099</t>
        </is>
      </c>
      <c r="D283" s="6" t="inlineStr">
        <is>
          <t>Hans Garcia</t>
        </is>
      </c>
      <c r="E283" s="6" t="inlineStr">
        <is>
          <t>Turkey</t>
        </is>
      </c>
      <c r="F283" s="6" t="inlineStr">
        <is>
          <t>Travel Photography</t>
        </is>
      </c>
      <c r="G283" s="6" t="inlineStr">
        <is>
          <t>Books</t>
        </is>
      </c>
      <c r="H283" s="6" t="n">
        <v>2</v>
      </c>
      <c r="I283" s="8" t="n">
        <v>39.61</v>
      </c>
      <c r="J283" s="9" t="n">
        <v>0</v>
      </c>
      <c r="K283" s="8">
        <f>H283*I283*(1-J283)</f>
        <v/>
      </c>
      <c r="L283" s="6" t="inlineStr">
        <is>
          <t>Credit Card</t>
        </is>
      </c>
    </row>
    <row r="284">
      <c r="A284" s="2" t="inlineStr">
        <is>
          <t>ORD-00283</t>
        </is>
      </c>
      <c r="B284" s="3" t="n">
        <v>45317</v>
      </c>
      <c r="C284" s="2" t="inlineStr">
        <is>
          <t>CUST-0135</t>
        </is>
      </c>
      <c r="D284" s="2" t="inlineStr">
        <is>
          <t>Michael Roy</t>
        </is>
      </c>
      <c r="E284" s="2" t="inlineStr">
        <is>
          <t>France</t>
        </is>
      </c>
      <c r="F284" s="2" t="inlineStr">
        <is>
          <t>Winter Jacket</t>
        </is>
      </c>
      <c r="G284" s="2" t="inlineStr">
        <is>
          <t>Clothing</t>
        </is>
      </c>
      <c r="H284" s="2" t="n">
        <v>1</v>
      </c>
      <c r="I284" s="4" t="n">
        <v>102.65</v>
      </c>
      <c r="J284" s="5" t="n">
        <v>0</v>
      </c>
      <c r="K284" s="4">
        <f>H284*I284*(1-J284)</f>
        <v/>
      </c>
      <c r="L284" s="2" t="inlineStr">
        <is>
          <t>Credit Card</t>
        </is>
      </c>
    </row>
    <row r="285">
      <c r="A285" s="6" t="inlineStr">
        <is>
          <t>ORD-00284</t>
        </is>
      </c>
      <c r="B285" s="7" t="n">
        <v>45317</v>
      </c>
      <c r="C285" s="6" t="inlineStr">
        <is>
          <t>CUST-0090</t>
        </is>
      </c>
      <c r="D285" s="6" t="inlineStr">
        <is>
          <t>Aria Brown</t>
        </is>
      </c>
      <c r="E285" s="6" t="inlineStr">
        <is>
          <t>USA</t>
        </is>
      </c>
      <c r="F285" s="6" t="inlineStr">
        <is>
          <t>Wall Clock</t>
        </is>
      </c>
      <c r="G285" s="6" t="inlineStr">
        <is>
          <t>Home &amp; Garden</t>
        </is>
      </c>
      <c r="H285" s="6" t="n">
        <v>3</v>
      </c>
      <c r="I285" s="8" t="n">
        <v>47.23</v>
      </c>
      <c r="J285" s="9" t="n">
        <v>0.05</v>
      </c>
      <c r="K285" s="8">
        <f>H285*I285*(1-J285)</f>
        <v/>
      </c>
      <c r="L285" s="6" t="inlineStr">
        <is>
          <t>Credit Card</t>
        </is>
      </c>
    </row>
    <row r="286">
      <c r="A286" s="2" t="inlineStr">
        <is>
          <t>ORD-00285</t>
        </is>
      </c>
      <c r="B286" s="3" t="n">
        <v>45318</v>
      </c>
      <c r="C286" s="2" t="inlineStr">
        <is>
          <t>CUST-0115</t>
        </is>
      </c>
      <c r="D286" s="2" t="inlineStr">
        <is>
          <t>Emily White</t>
        </is>
      </c>
      <c r="E286" s="2" t="inlineStr">
        <is>
          <t>Germany</t>
        </is>
      </c>
      <c r="F286" s="2" t="inlineStr">
        <is>
          <t>Self-Help Guide</t>
        </is>
      </c>
      <c r="G286" s="2" t="inlineStr">
        <is>
          <t>Books</t>
        </is>
      </c>
      <c r="H286" s="2" t="n">
        <v>2</v>
      </c>
      <c r="I286" s="4" t="n">
        <v>17.5</v>
      </c>
      <c r="J286" s="5" t="n">
        <v>0.1</v>
      </c>
      <c r="K286" s="4">
        <f>H286*I286*(1-J286)</f>
        <v/>
      </c>
      <c r="L286" s="2" t="inlineStr">
        <is>
          <t>Credit Card</t>
        </is>
      </c>
    </row>
    <row r="287">
      <c r="A287" s="6" t="inlineStr">
        <is>
          <t>ORD-00286</t>
        </is>
      </c>
      <c r="B287" s="7" t="n">
        <v>45318</v>
      </c>
      <c r="C287" s="6" t="inlineStr">
        <is>
          <t>CUST-0035</t>
        </is>
      </c>
      <c r="D287" s="6" t="inlineStr">
        <is>
          <t>Claire Campbell</t>
        </is>
      </c>
      <c r="E287" s="6" t="inlineStr">
        <is>
          <t>USA</t>
        </is>
      </c>
      <c r="F287" s="6" t="inlineStr">
        <is>
          <t>Wall Clock</t>
        </is>
      </c>
      <c r="G287" s="6" t="inlineStr">
        <is>
          <t>Home &amp; Garden</t>
        </is>
      </c>
      <c r="H287" s="6" t="n">
        <v>2</v>
      </c>
      <c r="I287" s="8" t="n">
        <v>24.28</v>
      </c>
      <c r="J287" s="9" t="n">
        <v>0</v>
      </c>
      <c r="K287" s="8">
        <f>H287*I287*(1-J287)</f>
        <v/>
      </c>
      <c r="L287" s="6" t="inlineStr">
        <is>
          <t>PayPal</t>
        </is>
      </c>
    </row>
    <row r="288">
      <c r="A288" s="2" t="inlineStr">
        <is>
          <t>ORD-00287</t>
        </is>
      </c>
      <c r="B288" s="3" t="n">
        <v>45320</v>
      </c>
      <c r="C288" s="2" t="inlineStr">
        <is>
          <t>CUST-0127</t>
        </is>
      </c>
      <c r="D288" s="2" t="inlineStr">
        <is>
          <t>Sophie Lefebvre</t>
        </is>
      </c>
      <c r="E288" s="2" t="inlineStr">
        <is>
          <t>Germany</t>
        </is>
      </c>
      <c r="F288" s="2" t="inlineStr">
        <is>
          <t>Denim Jeans</t>
        </is>
      </c>
      <c r="G288" s="2" t="inlineStr">
        <is>
          <t>Clothing</t>
        </is>
      </c>
      <c r="H288" s="2" t="n">
        <v>1</v>
      </c>
      <c r="I288" s="4" t="n">
        <v>66.23</v>
      </c>
      <c r="J288" s="5" t="n">
        <v>0.1</v>
      </c>
      <c r="K288" s="4">
        <f>H288*I288*(1-J288)</f>
        <v/>
      </c>
      <c r="L288" s="2" t="inlineStr">
        <is>
          <t>PayPal</t>
        </is>
      </c>
    </row>
    <row r="289">
      <c r="A289" s="6" t="inlineStr">
        <is>
          <t>ORD-00288</t>
        </is>
      </c>
      <c r="B289" s="7" t="n">
        <v>45320</v>
      </c>
      <c r="C289" s="6" t="inlineStr">
        <is>
          <t>CUST-0108</t>
        </is>
      </c>
      <c r="D289" s="6" t="inlineStr">
        <is>
          <t>Evelyn Campbell</t>
        </is>
      </c>
      <c r="E289" s="6" t="inlineStr">
        <is>
          <t>UK</t>
        </is>
      </c>
      <c r="F289" s="6" t="inlineStr">
        <is>
          <t>Travel Photography</t>
        </is>
      </c>
      <c r="G289" s="6" t="inlineStr">
        <is>
          <t>Books</t>
        </is>
      </c>
      <c r="H289" s="6" t="n">
        <v>1</v>
      </c>
      <c r="I289" s="8" t="n">
        <v>35.24</v>
      </c>
      <c r="J289" s="9" t="n">
        <v>0.2</v>
      </c>
      <c r="K289" s="8">
        <f>H289*I289*(1-J289)</f>
        <v/>
      </c>
      <c r="L289" s="6" t="inlineStr">
        <is>
          <t>Bank Transfer</t>
        </is>
      </c>
    </row>
    <row r="290">
      <c r="A290" s="2" t="inlineStr">
        <is>
          <t>ORD-00289</t>
        </is>
      </c>
      <c r="B290" s="3" t="n">
        <v>45321</v>
      </c>
      <c r="C290" s="2" t="inlineStr">
        <is>
          <t>CUST-0004</t>
        </is>
      </c>
      <c r="D290" s="2" t="inlineStr">
        <is>
          <t>Pierre Garcia</t>
        </is>
      </c>
      <c r="E290" s="2" t="inlineStr">
        <is>
          <t>Germany</t>
        </is>
      </c>
      <c r="F290" s="2" t="inlineStr">
        <is>
          <t>Winter Jacket</t>
        </is>
      </c>
      <c r="G290" s="2" t="inlineStr">
        <is>
          <t>Clothing</t>
        </is>
      </c>
      <c r="H290" s="2" t="n">
        <v>3</v>
      </c>
      <c r="I290" s="4" t="n">
        <v>132.32</v>
      </c>
      <c r="J290" s="5" t="n">
        <v>0.05</v>
      </c>
      <c r="K290" s="4">
        <f>H290*I290*(1-J290)</f>
        <v/>
      </c>
      <c r="L290" s="2" t="inlineStr">
        <is>
          <t>Bank Transfer</t>
        </is>
      </c>
    </row>
    <row r="291">
      <c r="A291" s="6" t="inlineStr">
        <is>
          <t>ORD-00290</t>
        </is>
      </c>
      <c r="B291" s="7" t="n">
        <v>45323</v>
      </c>
      <c r="C291" s="6" t="inlineStr">
        <is>
          <t>CUST-0134</t>
        </is>
      </c>
      <c r="D291" s="6" t="inlineStr">
        <is>
          <t>Oliver Yilmaz</t>
        </is>
      </c>
      <c r="E291" s="6" t="inlineStr">
        <is>
          <t>Turkey</t>
        </is>
      </c>
      <c r="F291" s="6" t="inlineStr">
        <is>
          <t>Wool Scarf</t>
        </is>
      </c>
      <c r="G291" s="6" t="inlineStr">
        <is>
          <t>Clothing</t>
        </is>
      </c>
      <c r="H291" s="6" t="n">
        <v>4</v>
      </c>
      <c r="I291" s="8" t="n">
        <v>37.17</v>
      </c>
      <c r="J291" s="9" t="n">
        <v>0.05</v>
      </c>
      <c r="K291" s="8">
        <f>H291*I291*(1-J291)</f>
        <v/>
      </c>
      <c r="L291" s="6" t="inlineStr">
        <is>
          <t>Credit Card</t>
        </is>
      </c>
    </row>
    <row r="292">
      <c r="A292" s="2" t="inlineStr">
        <is>
          <t>ORD-00291</t>
        </is>
      </c>
      <c r="B292" s="3" t="n">
        <v>45328</v>
      </c>
      <c r="C292" s="2" t="inlineStr">
        <is>
          <t>CUST-0076</t>
        </is>
      </c>
      <c r="D292" s="2" t="inlineStr">
        <is>
          <t>Amelia Fraser</t>
        </is>
      </c>
      <c r="E292" s="2" t="inlineStr">
        <is>
          <t>Turkey</t>
        </is>
      </c>
      <c r="F292" s="2" t="inlineStr">
        <is>
          <t>Plant Pot Set</t>
        </is>
      </c>
      <c r="G292" s="2" t="inlineStr">
        <is>
          <t>Home &amp; Garden</t>
        </is>
      </c>
      <c r="H292" s="2" t="n">
        <v>1</v>
      </c>
      <c r="I292" s="4" t="n">
        <v>27.36</v>
      </c>
      <c r="J292" s="5" t="n">
        <v>0.05</v>
      </c>
      <c r="K292" s="4">
        <f>H292*I292*(1-J292)</f>
        <v/>
      </c>
      <c r="L292" s="2" t="inlineStr">
        <is>
          <t>PayPal</t>
        </is>
      </c>
    </row>
    <row r="293">
      <c r="A293" s="6" t="inlineStr">
        <is>
          <t>ORD-00292</t>
        </is>
      </c>
      <c r="B293" s="7" t="n">
        <v>45329</v>
      </c>
      <c r="C293" s="6" t="inlineStr">
        <is>
          <t>CUST-0094</t>
        </is>
      </c>
      <c r="D293" s="6" t="inlineStr">
        <is>
          <t>Ayse Martinez</t>
        </is>
      </c>
      <c r="E293" s="6" t="inlineStr">
        <is>
          <t>USA</t>
        </is>
      </c>
      <c r="F293" s="6" t="inlineStr">
        <is>
          <t>Bluetooth Speaker</t>
        </is>
      </c>
      <c r="G293" s="6" t="inlineStr">
        <is>
          <t>Electronics</t>
        </is>
      </c>
      <c r="H293" s="6" t="n">
        <v>2</v>
      </c>
      <c r="I293" s="8" t="n">
        <v>65.52</v>
      </c>
      <c r="J293" s="9" t="n">
        <v>0.1</v>
      </c>
      <c r="K293" s="8">
        <f>H293*I293*(1-J293)</f>
        <v/>
      </c>
      <c r="L293" s="6" t="inlineStr">
        <is>
          <t>PayPal</t>
        </is>
      </c>
    </row>
    <row r="294">
      <c r="A294" s="2" t="inlineStr">
        <is>
          <t>ORD-00293</t>
        </is>
      </c>
      <c r="B294" s="3" t="n">
        <v>45329</v>
      </c>
      <c r="C294" s="2" t="inlineStr">
        <is>
          <t>CUST-0056</t>
        </is>
      </c>
      <c r="D294" s="2" t="inlineStr">
        <is>
          <t>Klaus Harris</t>
        </is>
      </c>
      <c r="E294" s="2" t="inlineStr">
        <is>
          <t>Germany</t>
        </is>
      </c>
      <c r="F294" s="2" t="inlineStr">
        <is>
          <t>Denim Jeans</t>
        </is>
      </c>
      <c r="G294" s="2" t="inlineStr">
        <is>
          <t>Clothing</t>
        </is>
      </c>
      <c r="H294" s="2" t="n">
        <v>1</v>
      </c>
      <c r="I294" s="4" t="n">
        <v>68.66</v>
      </c>
      <c r="J294" s="5" t="n">
        <v>0.05</v>
      </c>
      <c r="K294" s="4">
        <f>H294*I294*(1-J294)</f>
        <v/>
      </c>
      <c r="L294" s="2" t="inlineStr">
        <is>
          <t>Bank Transfer</t>
        </is>
      </c>
    </row>
    <row r="295">
      <c r="A295" s="6" t="inlineStr">
        <is>
          <t>ORD-00294</t>
        </is>
      </c>
      <c r="B295" s="7" t="n">
        <v>45332</v>
      </c>
      <c r="C295" s="6" t="inlineStr">
        <is>
          <t>CUST-0129</t>
        </is>
      </c>
      <c r="D295" s="6" t="inlineStr">
        <is>
          <t>William Martinez</t>
        </is>
      </c>
      <c r="E295" s="6" t="inlineStr">
        <is>
          <t>Germany</t>
        </is>
      </c>
      <c r="F295" s="6" t="inlineStr">
        <is>
          <t>Winter Jacket</t>
        </is>
      </c>
      <c r="G295" s="6" t="inlineStr">
        <is>
          <t>Clothing</t>
        </is>
      </c>
      <c r="H295" s="6" t="n">
        <v>1</v>
      </c>
      <c r="I295" s="8" t="n">
        <v>149.55</v>
      </c>
      <c r="J295" s="9" t="n">
        <v>0</v>
      </c>
      <c r="K295" s="8">
        <f>H295*I295*(1-J295)</f>
        <v/>
      </c>
      <c r="L295" s="6" t="inlineStr">
        <is>
          <t>Bank Transfer</t>
        </is>
      </c>
    </row>
    <row r="296">
      <c r="A296" s="2" t="inlineStr">
        <is>
          <t>ORD-00295</t>
        </is>
      </c>
      <c r="B296" s="3" t="n">
        <v>45333</v>
      </c>
      <c r="C296" s="2" t="inlineStr">
        <is>
          <t>CUST-0084</t>
        </is>
      </c>
      <c r="D296" s="2" t="inlineStr">
        <is>
          <t>Mia Lee</t>
        </is>
      </c>
      <c r="E296" s="2" t="inlineStr">
        <is>
          <t>UK</t>
        </is>
      </c>
      <c r="F296" s="2" t="inlineStr">
        <is>
          <t>Laptop Stand</t>
        </is>
      </c>
      <c r="G296" s="2" t="inlineStr">
        <is>
          <t>Electronics</t>
        </is>
      </c>
      <c r="H296" s="2" t="n">
        <v>2</v>
      </c>
      <c r="I296" s="4" t="n">
        <v>43.5</v>
      </c>
      <c r="J296" s="5" t="n">
        <v>0</v>
      </c>
      <c r="K296" s="4">
        <f>H296*I296*(1-J296)</f>
        <v/>
      </c>
      <c r="L296" s="2" t="inlineStr">
        <is>
          <t>PayPal</t>
        </is>
      </c>
    </row>
    <row r="297">
      <c r="A297" s="6" t="inlineStr">
        <is>
          <t>ORD-00296</t>
        </is>
      </c>
      <c r="B297" s="7" t="n">
        <v>45333</v>
      </c>
      <c r="C297" s="6" t="inlineStr">
        <is>
          <t>CUST-0027</t>
        </is>
      </c>
      <c r="D297" s="6" t="inlineStr">
        <is>
          <t>Amelia Wilson</t>
        </is>
      </c>
      <c r="E297" s="6" t="inlineStr">
        <is>
          <t>UK</t>
        </is>
      </c>
      <c r="F297" s="6" t="inlineStr">
        <is>
          <t>Smart Watch Band</t>
        </is>
      </c>
      <c r="G297" s="6" t="inlineStr">
        <is>
          <t>Electronics</t>
        </is>
      </c>
      <c r="H297" s="6" t="n">
        <v>1</v>
      </c>
      <c r="I297" s="8" t="n">
        <v>25.06</v>
      </c>
      <c r="J297" s="9" t="n">
        <v>0</v>
      </c>
      <c r="K297" s="8">
        <f>H297*I297*(1-J297)</f>
        <v/>
      </c>
      <c r="L297" s="6" t="inlineStr">
        <is>
          <t>PayPal</t>
        </is>
      </c>
    </row>
    <row r="298">
      <c r="A298" s="2" t="inlineStr">
        <is>
          <t>ORD-00297</t>
        </is>
      </c>
      <c r="B298" s="3" t="n">
        <v>45340</v>
      </c>
      <c r="C298" s="2" t="inlineStr">
        <is>
          <t>CUST-0005</t>
        </is>
      </c>
      <c r="D298" s="2" t="inlineStr">
        <is>
          <t>Liam Johnson</t>
        </is>
      </c>
      <c r="E298" s="2" t="inlineStr">
        <is>
          <t>USA</t>
        </is>
      </c>
      <c r="F298" s="2" t="inlineStr">
        <is>
          <t>USB-C Hub</t>
        </is>
      </c>
      <c r="G298" s="2" t="inlineStr">
        <is>
          <t>Electronics</t>
        </is>
      </c>
      <c r="H298" s="2" t="n">
        <v>1</v>
      </c>
      <c r="I298" s="4" t="n">
        <v>32.38</v>
      </c>
      <c r="J298" s="5" t="n">
        <v>0.05</v>
      </c>
      <c r="K298" s="4">
        <f>H298*I298*(1-J298)</f>
        <v/>
      </c>
      <c r="L298" s="2" t="inlineStr">
        <is>
          <t>Credit Card</t>
        </is>
      </c>
    </row>
    <row r="299">
      <c r="A299" s="6" t="inlineStr">
        <is>
          <t>ORD-00298</t>
        </is>
      </c>
      <c r="B299" s="7" t="n">
        <v>45341</v>
      </c>
      <c r="C299" s="6" t="inlineStr">
        <is>
          <t>CUST-0100</t>
        </is>
      </c>
      <c r="D299" s="6" t="inlineStr">
        <is>
          <t>Noah Tremblay</t>
        </is>
      </c>
      <c r="E299" s="6" t="inlineStr">
        <is>
          <t>USA</t>
        </is>
      </c>
      <c r="F299" s="6" t="inlineStr">
        <is>
          <t>Jump Rope</t>
        </is>
      </c>
      <c r="G299" s="6" t="inlineStr">
        <is>
          <t>Sports</t>
        </is>
      </c>
      <c r="H299" s="6" t="n">
        <v>2</v>
      </c>
      <c r="I299" s="8" t="n">
        <v>16.49</v>
      </c>
      <c r="J299" s="9" t="n">
        <v>0</v>
      </c>
      <c r="K299" s="8">
        <f>H299*I299*(1-J299)</f>
        <v/>
      </c>
      <c r="L299" s="6" t="inlineStr">
        <is>
          <t>PayPal</t>
        </is>
      </c>
    </row>
    <row r="300">
      <c r="A300" s="2" t="inlineStr">
        <is>
          <t>ORD-00299</t>
        </is>
      </c>
      <c r="B300" s="3" t="n">
        <v>45341</v>
      </c>
      <c r="C300" s="2" t="inlineStr">
        <is>
          <t>CUST-0111</t>
        </is>
      </c>
      <c r="D300" s="2" t="inlineStr">
        <is>
          <t>Noah Fischer</t>
        </is>
      </c>
      <c r="E300" s="2" t="inlineStr">
        <is>
          <t>USA</t>
        </is>
      </c>
      <c r="F300" s="2" t="inlineStr">
        <is>
          <t>Winter Jacket</t>
        </is>
      </c>
      <c r="G300" s="2" t="inlineStr">
        <is>
          <t>Clothing</t>
        </is>
      </c>
      <c r="H300" s="2" t="n">
        <v>2</v>
      </c>
      <c r="I300" s="4" t="n">
        <v>123.85</v>
      </c>
      <c r="J300" s="5" t="n">
        <v>0.1</v>
      </c>
      <c r="K300" s="4">
        <f>H300*I300*(1-J300)</f>
        <v/>
      </c>
      <c r="L300" s="2" t="inlineStr">
        <is>
          <t>PayPal</t>
        </is>
      </c>
    </row>
    <row r="301">
      <c r="A301" s="6" t="inlineStr">
        <is>
          <t>ORD-00300</t>
        </is>
      </c>
      <c r="B301" s="7" t="n">
        <v>45344</v>
      </c>
      <c r="C301" s="6" t="inlineStr">
        <is>
          <t>CUST-0072</t>
        </is>
      </c>
      <c r="D301" s="6" t="inlineStr">
        <is>
          <t>Noah Williams</t>
        </is>
      </c>
      <c r="E301" s="6" t="inlineStr">
        <is>
          <t>Turkey</t>
        </is>
      </c>
      <c r="F301" s="6" t="inlineStr">
        <is>
          <t>Wireless Mouse</t>
        </is>
      </c>
      <c r="G301" s="6" t="inlineStr">
        <is>
          <t>Electronics</t>
        </is>
      </c>
      <c r="H301" s="6" t="n">
        <v>2</v>
      </c>
      <c r="I301" s="8" t="n">
        <v>20.42</v>
      </c>
      <c r="J301" s="9" t="n">
        <v>0</v>
      </c>
      <c r="K301" s="8">
        <f>H301*I301*(1-J301)</f>
        <v/>
      </c>
      <c r="L301" s="6" t="inlineStr">
        <is>
          <t>Credit Card</t>
        </is>
      </c>
    </row>
    <row r="302">
      <c r="A302" s="2" t="inlineStr">
        <is>
          <t>ORD-00301</t>
        </is>
      </c>
      <c r="B302" s="3" t="n">
        <v>45345</v>
      </c>
      <c r="C302" s="2" t="inlineStr">
        <is>
          <t>CUST-0087</t>
        </is>
      </c>
      <c r="D302" s="2" t="inlineStr">
        <is>
          <t>Pierre Smith</t>
        </is>
      </c>
      <c r="E302" s="2" t="inlineStr">
        <is>
          <t>Canada</t>
        </is>
      </c>
      <c r="F302" s="2" t="inlineStr">
        <is>
          <t>Yoga Mat</t>
        </is>
      </c>
      <c r="G302" s="2" t="inlineStr">
        <is>
          <t>Sports</t>
        </is>
      </c>
      <c r="H302" s="2" t="n">
        <v>2</v>
      </c>
      <c r="I302" s="4" t="n">
        <v>43.67</v>
      </c>
      <c r="J302" s="5" t="n">
        <v>0</v>
      </c>
      <c r="K302" s="4">
        <f>H302*I302*(1-J302)</f>
        <v/>
      </c>
      <c r="L302" s="2" t="inlineStr">
        <is>
          <t>Credit Card</t>
        </is>
      </c>
    </row>
    <row r="303">
      <c r="A303" s="6" t="inlineStr">
        <is>
          <t>ORD-00302</t>
        </is>
      </c>
      <c r="B303" s="7" t="n">
        <v>45345</v>
      </c>
      <c r="C303" s="6" t="inlineStr">
        <is>
          <t>CUST-0093</t>
        </is>
      </c>
      <c r="D303" s="6" t="inlineStr">
        <is>
          <t>David Weber</t>
        </is>
      </c>
      <c r="E303" s="6" t="inlineStr">
        <is>
          <t>France</t>
        </is>
      </c>
      <c r="F303" s="6" t="inlineStr">
        <is>
          <t>Power Bank</t>
        </is>
      </c>
      <c r="G303" s="6" t="inlineStr">
        <is>
          <t>Electronics</t>
        </is>
      </c>
      <c r="H303" s="6" t="n">
        <v>1</v>
      </c>
      <c r="I303" s="8" t="n">
        <v>46.05</v>
      </c>
      <c r="J303" s="9" t="n">
        <v>0.15</v>
      </c>
      <c r="K303" s="8">
        <f>H303*I303*(1-J303)</f>
        <v/>
      </c>
      <c r="L303" s="6" t="inlineStr">
        <is>
          <t>Credit Card</t>
        </is>
      </c>
    </row>
    <row r="304">
      <c r="A304" s="2" t="inlineStr">
        <is>
          <t>ORD-00303</t>
        </is>
      </c>
      <c r="B304" s="3" t="n">
        <v>45346</v>
      </c>
      <c r="C304" s="2" t="inlineStr">
        <is>
          <t>CUST-0132</t>
        </is>
      </c>
      <c r="D304" s="2" t="inlineStr">
        <is>
          <t>Camila Williams</t>
        </is>
      </c>
      <c r="E304" s="2" t="inlineStr">
        <is>
          <t>Turkey</t>
        </is>
      </c>
      <c r="F304" s="2" t="inlineStr">
        <is>
          <t>Wireless Headphones</t>
        </is>
      </c>
      <c r="G304" s="2" t="inlineStr">
        <is>
          <t>Electronics</t>
        </is>
      </c>
      <c r="H304" s="2" t="n">
        <v>1</v>
      </c>
      <c r="I304" s="4" t="n">
        <v>87.92</v>
      </c>
      <c r="J304" s="5" t="n">
        <v>0</v>
      </c>
      <c r="K304" s="4">
        <f>H304*I304*(1-J304)</f>
        <v/>
      </c>
      <c r="L304" s="2" t="inlineStr">
        <is>
          <t>PayPal</t>
        </is>
      </c>
    </row>
    <row r="305">
      <c r="A305" s="6" t="inlineStr">
        <is>
          <t>ORD-00304</t>
        </is>
      </c>
      <c r="B305" s="7" t="n">
        <v>45347</v>
      </c>
      <c r="C305" s="6" t="inlineStr">
        <is>
          <t>CUST-0091</t>
        </is>
      </c>
      <c r="D305" s="6" t="inlineStr">
        <is>
          <t>James Mueller</t>
        </is>
      </c>
      <c r="E305" s="6" t="inlineStr">
        <is>
          <t>USA</t>
        </is>
      </c>
      <c r="F305" s="6" t="inlineStr">
        <is>
          <t>Self-Help Guide</t>
        </is>
      </c>
      <c r="G305" s="6" t="inlineStr">
        <is>
          <t>Books</t>
        </is>
      </c>
      <c r="H305" s="6" t="n">
        <v>3</v>
      </c>
      <c r="I305" s="8" t="n">
        <v>23.41</v>
      </c>
      <c r="J305" s="9" t="n">
        <v>0.2</v>
      </c>
      <c r="K305" s="8">
        <f>H305*I305*(1-J305)</f>
        <v/>
      </c>
      <c r="L305" s="6" t="inlineStr">
        <is>
          <t>PayPal</t>
        </is>
      </c>
    </row>
    <row r="306">
      <c r="A306" s="2" t="inlineStr">
        <is>
          <t>ORD-00305</t>
        </is>
      </c>
      <c r="B306" s="3" t="n">
        <v>45348</v>
      </c>
      <c r="C306" s="2" t="inlineStr">
        <is>
          <t>CUST-0016</t>
        </is>
      </c>
      <c r="D306" s="2" t="inlineStr">
        <is>
          <t>Daniel Garcia</t>
        </is>
      </c>
      <c r="E306" s="2" t="inlineStr">
        <is>
          <t>Germany</t>
        </is>
      </c>
      <c r="F306" s="2" t="inlineStr">
        <is>
          <t>Travel Photography</t>
        </is>
      </c>
      <c r="G306" s="2" t="inlineStr">
        <is>
          <t>Books</t>
        </is>
      </c>
      <c r="H306" s="2" t="n">
        <v>4</v>
      </c>
      <c r="I306" s="4" t="n">
        <v>22.53</v>
      </c>
      <c r="J306" s="5" t="n">
        <v>0</v>
      </c>
      <c r="K306" s="4">
        <f>H306*I306*(1-J306)</f>
        <v/>
      </c>
      <c r="L306" s="2" t="inlineStr">
        <is>
          <t>PayPal</t>
        </is>
      </c>
    </row>
    <row r="307">
      <c r="A307" s="6" t="inlineStr">
        <is>
          <t>ORD-00306</t>
        </is>
      </c>
      <c r="B307" s="7" t="n">
        <v>45349</v>
      </c>
      <c r="C307" s="6" t="inlineStr">
        <is>
          <t>CUST-0132</t>
        </is>
      </c>
      <c r="D307" s="6" t="inlineStr">
        <is>
          <t>Camila Williams</t>
        </is>
      </c>
      <c r="E307" s="6" t="inlineStr">
        <is>
          <t>Turkey</t>
        </is>
      </c>
      <c r="F307" s="6" t="inlineStr">
        <is>
          <t>USB-C Hub</t>
        </is>
      </c>
      <c r="G307" s="6" t="inlineStr">
        <is>
          <t>Electronics</t>
        </is>
      </c>
      <c r="H307" s="6" t="n">
        <v>3</v>
      </c>
      <c r="I307" s="8" t="n">
        <v>32.72</v>
      </c>
      <c r="J307" s="9" t="n">
        <v>0</v>
      </c>
      <c r="K307" s="8">
        <f>H307*I307*(1-J307)</f>
        <v/>
      </c>
      <c r="L307" s="6" t="inlineStr">
        <is>
          <t>Credit Card</t>
        </is>
      </c>
    </row>
    <row r="308">
      <c r="A308" s="2" t="inlineStr">
        <is>
          <t>ORD-00307</t>
        </is>
      </c>
      <c r="B308" s="3" t="n">
        <v>45349</v>
      </c>
      <c r="C308" s="2" t="inlineStr">
        <is>
          <t>CUST-0067</t>
        </is>
      </c>
      <c r="D308" s="2" t="inlineStr">
        <is>
          <t>Owen Demir</t>
        </is>
      </c>
      <c r="E308" s="2" t="inlineStr">
        <is>
          <t>UK</t>
        </is>
      </c>
      <c r="F308" s="2" t="inlineStr">
        <is>
          <t>Wireless Headphones</t>
        </is>
      </c>
      <c r="G308" s="2" t="inlineStr">
        <is>
          <t>Electronics</t>
        </is>
      </c>
      <c r="H308" s="2" t="n">
        <v>3</v>
      </c>
      <c r="I308" s="4" t="n">
        <v>50</v>
      </c>
      <c r="J308" s="5" t="n">
        <v>0.15</v>
      </c>
      <c r="K308" s="4">
        <f>H308*I308*(1-J308)</f>
        <v/>
      </c>
      <c r="L308" s="2" t="inlineStr">
        <is>
          <t>Credit Card</t>
        </is>
      </c>
    </row>
    <row r="309">
      <c r="A309" s="6" t="inlineStr">
        <is>
          <t>ORD-00308</t>
        </is>
      </c>
      <c r="B309" s="7" t="n">
        <v>45351</v>
      </c>
      <c r="C309" s="6" t="inlineStr">
        <is>
          <t>CUST-0039</t>
        </is>
      </c>
      <c r="D309" s="6" t="inlineStr">
        <is>
          <t>Ethan Rodriguez</t>
        </is>
      </c>
      <c r="E309" s="6" t="inlineStr">
        <is>
          <t>Germany</t>
        </is>
      </c>
      <c r="F309" s="6" t="inlineStr">
        <is>
          <t>Smartphone Case</t>
        </is>
      </c>
      <c r="G309" s="6" t="inlineStr">
        <is>
          <t>Electronics</t>
        </is>
      </c>
      <c r="H309" s="6" t="n">
        <v>2</v>
      </c>
      <c r="I309" s="8" t="n">
        <v>28.49</v>
      </c>
      <c r="J309" s="9" t="n">
        <v>0</v>
      </c>
      <c r="K309" s="8">
        <f>H309*I309*(1-J309)</f>
        <v/>
      </c>
      <c r="L309" s="6" t="inlineStr">
        <is>
          <t>Credit Card</t>
        </is>
      </c>
    </row>
    <row r="310">
      <c r="A310" s="2" t="inlineStr">
        <is>
          <t>ORD-00309</t>
        </is>
      </c>
      <c r="B310" s="3" t="n">
        <v>45353</v>
      </c>
      <c r="C310" s="2" t="inlineStr">
        <is>
          <t>CUST-0143</t>
        </is>
      </c>
      <c r="D310" s="2" t="inlineStr">
        <is>
          <t>Penelope Yilmaz</t>
        </is>
      </c>
      <c r="E310" s="2" t="inlineStr">
        <is>
          <t>UK</t>
        </is>
      </c>
      <c r="F310" s="2" t="inlineStr">
        <is>
          <t>LED Desk Lamp</t>
        </is>
      </c>
      <c r="G310" s="2" t="inlineStr">
        <is>
          <t>Home &amp; Garden</t>
        </is>
      </c>
      <c r="H310" s="2" t="n">
        <v>1</v>
      </c>
      <c r="I310" s="4" t="n">
        <v>33.49</v>
      </c>
      <c r="J310" s="5" t="n">
        <v>0.1</v>
      </c>
      <c r="K310" s="4">
        <f>H310*I310*(1-J310)</f>
        <v/>
      </c>
      <c r="L310" s="2" t="inlineStr">
        <is>
          <t>Bank Transfer</t>
        </is>
      </c>
    </row>
    <row r="311">
      <c r="A311" s="6" t="inlineStr">
        <is>
          <t>ORD-00310</t>
        </is>
      </c>
      <c r="B311" s="7" t="n">
        <v>45355</v>
      </c>
      <c r="C311" s="6" t="inlineStr">
        <is>
          <t>CUST-0140</t>
        </is>
      </c>
      <c r="D311" s="6" t="inlineStr">
        <is>
          <t>Amelia Lee</t>
        </is>
      </c>
      <c r="E311" s="6" t="inlineStr">
        <is>
          <t>USA</t>
        </is>
      </c>
      <c r="F311" s="6" t="inlineStr">
        <is>
          <t>Wireless Mouse</t>
        </is>
      </c>
      <c r="G311" s="6" t="inlineStr">
        <is>
          <t>Electronics</t>
        </is>
      </c>
      <c r="H311" s="6" t="n">
        <v>3</v>
      </c>
      <c r="I311" s="8" t="n">
        <v>32.53</v>
      </c>
      <c r="J311" s="9" t="n">
        <v>0.05</v>
      </c>
      <c r="K311" s="8">
        <f>H311*I311*(1-J311)</f>
        <v/>
      </c>
      <c r="L311" s="6" t="inlineStr">
        <is>
          <t>Bank Transfer</t>
        </is>
      </c>
    </row>
    <row r="312">
      <c r="A312" s="2" t="inlineStr">
        <is>
          <t>ORD-00311</t>
        </is>
      </c>
      <c r="B312" s="3" t="n">
        <v>45356</v>
      </c>
      <c r="C312" s="2" t="inlineStr">
        <is>
          <t>CUST-0138</t>
        </is>
      </c>
      <c r="D312" s="2" t="inlineStr">
        <is>
          <t>Anna Clark</t>
        </is>
      </c>
      <c r="E312" s="2" t="inlineStr">
        <is>
          <t>Turkey</t>
        </is>
      </c>
      <c r="F312" s="2" t="inlineStr">
        <is>
          <t>Jump Rope</t>
        </is>
      </c>
      <c r="G312" s="2" t="inlineStr">
        <is>
          <t>Sports</t>
        </is>
      </c>
      <c r="H312" s="2" t="n">
        <v>4</v>
      </c>
      <c r="I312" s="4" t="n">
        <v>17.59</v>
      </c>
      <c r="J312" s="5" t="n">
        <v>0.05</v>
      </c>
      <c r="K312" s="4">
        <f>H312*I312*(1-J312)</f>
        <v/>
      </c>
      <c r="L312" s="2" t="inlineStr">
        <is>
          <t>Credit Card</t>
        </is>
      </c>
    </row>
    <row r="313">
      <c r="A313" s="6" t="inlineStr">
        <is>
          <t>ORD-00312</t>
        </is>
      </c>
      <c r="B313" s="7" t="n">
        <v>45357</v>
      </c>
      <c r="C313" s="6" t="inlineStr">
        <is>
          <t>CUST-0098</t>
        </is>
      </c>
      <c r="D313" s="6" t="inlineStr">
        <is>
          <t>Hans Demir</t>
        </is>
      </c>
      <c r="E313" s="6" t="inlineStr">
        <is>
          <t>USA</t>
        </is>
      </c>
      <c r="F313" s="6" t="inlineStr">
        <is>
          <t>Resistance Bands</t>
        </is>
      </c>
      <c r="G313" s="6" t="inlineStr">
        <is>
          <t>Sports</t>
        </is>
      </c>
      <c r="H313" s="6" t="n">
        <v>1</v>
      </c>
      <c r="I313" s="8" t="n">
        <v>22.3</v>
      </c>
      <c r="J313" s="9" t="n">
        <v>0.05</v>
      </c>
      <c r="K313" s="8">
        <f>H313*I313*(1-J313)</f>
        <v/>
      </c>
      <c r="L313" s="6" t="inlineStr">
        <is>
          <t>Credit Card</t>
        </is>
      </c>
    </row>
    <row r="314">
      <c r="A314" s="2" t="inlineStr">
        <is>
          <t>ORD-00313</t>
        </is>
      </c>
      <c r="B314" s="3" t="n">
        <v>45358</v>
      </c>
      <c r="C314" s="2" t="inlineStr">
        <is>
          <t>CUST-0135</t>
        </is>
      </c>
      <c r="D314" s="2" t="inlineStr">
        <is>
          <t>Michael Roy</t>
        </is>
      </c>
      <c r="E314" s="2" t="inlineStr">
        <is>
          <t>France</t>
        </is>
      </c>
      <c r="F314" s="2" t="inlineStr">
        <is>
          <t>Smartphone Case</t>
        </is>
      </c>
      <c r="G314" s="2" t="inlineStr">
        <is>
          <t>Electronics</t>
        </is>
      </c>
      <c r="H314" s="2" t="n">
        <v>3</v>
      </c>
      <c r="I314" s="4" t="n">
        <v>19.51</v>
      </c>
      <c r="J314" s="5" t="n">
        <v>0.05</v>
      </c>
      <c r="K314" s="4">
        <f>H314*I314*(1-J314)</f>
        <v/>
      </c>
      <c r="L314" s="2" t="inlineStr">
        <is>
          <t>Credit Card</t>
        </is>
      </c>
    </row>
    <row r="315">
      <c r="A315" s="6" t="inlineStr">
        <is>
          <t>ORD-00314</t>
        </is>
      </c>
      <c r="B315" s="7" t="n">
        <v>45358</v>
      </c>
      <c r="C315" s="6" t="inlineStr">
        <is>
          <t>CUST-0043</t>
        </is>
      </c>
      <c r="D315" s="6" t="inlineStr">
        <is>
          <t>Daniel Mueller</t>
        </is>
      </c>
      <c r="E315" s="6" t="inlineStr">
        <is>
          <t>Germany</t>
        </is>
      </c>
      <c r="F315" s="6" t="inlineStr">
        <is>
          <t>Wireless Headphones</t>
        </is>
      </c>
      <c r="G315" s="6" t="inlineStr">
        <is>
          <t>Electronics</t>
        </is>
      </c>
      <c r="H315" s="6" t="n">
        <v>3</v>
      </c>
      <c r="I315" s="8" t="n">
        <v>128.52</v>
      </c>
      <c r="J315" s="9" t="n">
        <v>0</v>
      </c>
      <c r="K315" s="8">
        <f>H315*I315*(1-J315)</f>
        <v/>
      </c>
      <c r="L315" s="6" t="inlineStr">
        <is>
          <t>Bank Transfer</t>
        </is>
      </c>
    </row>
    <row r="316">
      <c r="A316" s="2" t="inlineStr">
        <is>
          <t>ORD-00315</t>
        </is>
      </c>
      <c r="B316" s="3" t="n">
        <v>45360</v>
      </c>
      <c r="C316" s="2" t="inlineStr">
        <is>
          <t>CUST-0089</t>
        </is>
      </c>
      <c r="D316" s="2" t="inlineStr">
        <is>
          <t>Ayse Fraser</t>
        </is>
      </c>
      <c r="E316" s="2" t="inlineStr">
        <is>
          <t>USA</t>
        </is>
      </c>
      <c r="F316" s="2" t="inlineStr">
        <is>
          <t>Jump Rope</t>
        </is>
      </c>
      <c r="G316" s="2" t="inlineStr">
        <is>
          <t>Sports</t>
        </is>
      </c>
      <c r="H316" s="2" t="n">
        <v>4</v>
      </c>
      <c r="I316" s="4" t="n">
        <v>19.92</v>
      </c>
      <c r="J316" s="5" t="n">
        <v>0</v>
      </c>
      <c r="K316" s="4">
        <f>H316*I316*(1-J316)</f>
        <v/>
      </c>
      <c r="L316" s="2" t="inlineStr">
        <is>
          <t>Bank Transfer</t>
        </is>
      </c>
    </row>
    <row r="317">
      <c r="A317" s="6" t="inlineStr">
        <is>
          <t>ORD-00316</t>
        </is>
      </c>
      <c r="B317" s="7" t="n">
        <v>45360</v>
      </c>
      <c r="C317" s="6" t="inlineStr">
        <is>
          <t>CUST-0123</t>
        </is>
      </c>
      <c r="D317" s="6" t="inlineStr">
        <is>
          <t>Olivia Garcia</t>
        </is>
      </c>
      <c r="E317" s="6" t="inlineStr">
        <is>
          <t>France</t>
        </is>
      </c>
      <c r="F317" s="6" t="inlineStr">
        <is>
          <t>Python Programming</t>
        </is>
      </c>
      <c r="G317" s="6" t="inlineStr">
        <is>
          <t>Books</t>
        </is>
      </c>
      <c r="H317" s="6" t="n">
        <v>1</v>
      </c>
      <c r="I317" s="8" t="n">
        <v>40.04</v>
      </c>
      <c r="J317" s="9" t="n">
        <v>0.1</v>
      </c>
      <c r="K317" s="8">
        <f>H317*I317*(1-J317)</f>
        <v/>
      </c>
      <c r="L317" s="6" t="inlineStr">
        <is>
          <t>Credit Card</t>
        </is>
      </c>
    </row>
    <row r="318">
      <c r="A318" s="2" t="inlineStr">
        <is>
          <t>ORD-00317</t>
        </is>
      </c>
      <c r="B318" s="3" t="n">
        <v>45362</v>
      </c>
      <c r="C318" s="2" t="inlineStr">
        <is>
          <t>CUST-0141</t>
        </is>
      </c>
      <c r="D318" s="2" t="inlineStr">
        <is>
          <t>William Miller</t>
        </is>
      </c>
      <c r="E318" s="2" t="inlineStr">
        <is>
          <t>UK</t>
        </is>
      </c>
      <c r="F318" s="2" t="inlineStr">
        <is>
          <t>Leather Belt</t>
        </is>
      </c>
      <c r="G318" s="2" t="inlineStr">
        <is>
          <t>Clothing</t>
        </is>
      </c>
      <c r="H318" s="2" t="n">
        <v>1</v>
      </c>
      <c r="I318" s="4" t="n">
        <v>38.6</v>
      </c>
      <c r="J318" s="5" t="n">
        <v>0</v>
      </c>
      <c r="K318" s="4">
        <f>H318*I318*(1-J318)</f>
        <v/>
      </c>
      <c r="L318" s="2" t="inlineStr">
        <is>
          <t>PayPal</t>
        </is>
      </c>
    </row>
    <row r="319">
      <c r="A319" s="6" t="inlineStr">
        <is>
          <t>ORD-00318</t>
        </is>
      </c>
      <c r="B319" s="7" t="n">
        <v>45366</v>
      </c>
      <c r="C319" s="6" t="inlineStr">
        <is>
          <t>CUST-0147</t>
        </is>
      </c>
      <c r="D319" s="6" t="inlineStr">
        <is>
          <t>Hans Schmidt</t>
        </is>
      </c>
      <c r="E319" s="6" t="inlineStr">
        <is>
          <t>France</t>
        </is>
      </c>
      <c r="F319" s="6" t="inlineStr">
        <is>
          <t>Leather Belt</t>
        </is>
      </c>
      <c r="G319" s="6" t="inlineStr">
        <is>
          <t>Clothing</t>
        </is>
      </c>
      <c r="H319" s="6" t="n">
        <v>1</v>
      </c>
      <c r="I319" s="8" t="n">
        <v>37.52</v>
      </c>
      <c r="J319" s="9" t="n">
        <v>0</v>
      </c>
      <c r="K319" s="8">
        <f>H319*I319*(1-J319)</f>
        <v/>
      </c>
      <c r="L319" s="6" t="inlineStr">
        <is>
          <t>Credit Card</t>
        </is>
      </c>
    </row>
    <row r="320">
      <c r="A320" s="2" t="inlineStr">
        <is>
          <t>ORD-00319</t>
        </is>
      </c>
      <c r="B320" s="3" t="n">
        <v>45369</v>
      </c>
      <c r="C320" s="2" t="inlineStr">
        <is>
          <t>CUST-0083</t>
        </is>
      </c>
      <c r="D320" s="2" t="inlineStr">
        <is>
          <t>Pierre Wilson</t>
        </is>
      </c>
      <c r="E320" s="2" t="inlineStr">
        <is>
          <t>USA</t>
        </is>
      </c>
      <c r="F320" s="2" t="inlineStr">
        <is>
          <t>Scented Candle</t>
        </is>
      </c>
      <c r="G320" s="2" t="inlineStr">
        <is>
          <t>Home &amp; Garden</t>
        </is>
      </c>
      <c r="H320" s="2" t="n">
        <v>5</v>
      </c>
      <c r="I320" s="4" t="n">
        <v>11.36</v>
      </c>
      <c r="J320" s="5" t="n">
        <v>0.15</v>
      </c>
      <c r="K320" s="4">
        <f>H320*I320*(1-J320)</f>
        <v/>
      </c>
      <c r="L320" s="2" t="inlineStr">
        <is>
          <t>PayPal</t>
        </is>
      </c>
    </row>
    <row r="321">
      <c r="A321" s="6" t="inlineStr">
        <is>
          <t>ORD-00320</t>
        </is>
      </c>
      <c r="B321" s="7" t="n">
        <v>45371</v>
      </c>
      <c r="C321" s="6" t="inlineStr">
        <is>
          <t>CUST-0089</t>
        </is>
      </c>
      <c r="D321" s="6" t="inlineStr">
        <is>
          <t>Ayse Fraser</t>
        </is>
      </c>
      <c r="E321" s="6" t="inlineStr">
        <is>
          <t>USA</t>
        </is>
      </c>
      <c r="F321" s="6" t="inlineStr">
        <is>
          <t>Water Bottle</t>
        </is>
      </c>
      <c r="G321" s="6" t="inlineStr">
        <is>
          <t>Sports</t>
        </is>
      </c>
      <c r="H321" s="6" t="n">
        <v>5</v>
      </c>
      <c r="I321" s="8" t="n">
        <v>20.41</v>
      </c>
      <c r="J321" s="9" t="n">
        <v>0</v>
      </c>
      <c r="K321" s="8">
        <f>H321*I321*(1-J321)</f>
        <v/>
      </c>
      <c r="L321" s="6" t="inlineStr">
        <is>
          <t>Bank Transfer</t>
        </is>
      </c>
    </row>
    <row r="322">
      <c r="A322" s="2" t="inlineStr">
        <is>
          <t>ORD-00321</t>
        </is>
      </c>
      <c r="B322" s="3" t="n">
        <v>45374</v>
      </c>
      <c r="C322" s="2" t="inlineStr">
        <is>
          <t>CUST-0024</t>
        </is>
      </c>
      <c r="D322" s="2" t="inlineStr">
        <is>
          <t>Robert Lee</t>
        </is>
      </c>
      <c r="E322" s="2" t="inlineStr">
        <is>
          <t>France</t>
        </is>
      </c>
      <c r="F322" s="2" t="inlineStr">
        <is>
          <t>Data Science Handbook</t>
        </is>
      </c>
      <c r="G322" s="2" t="inlineStr">
        <is>
          <t>Books</t>
        </is>
      </c>
      <c r="H322" s="2" t="n">
        <v>4</v>
      </c>
      <c r="I322" s="4" t="n">
        <v>55.41</v>
      </c>
      <c r="J322" s="5" t="n">
        <v>0.2</v>
      </c>
      <c r="K322" s="4">
        <f>H322*I322*(1-J322)</f>
        <v/>
      </c>
      <c r="L322" s="2" t="inlineStr">
        <is>
          <t>Credit Card</t>
        </is>
      </c>
    </row>
    <row r="323">
      <c r="A323" s="6" t="inlineStr">
        <is>
          <t>ORD-00322</t>
        </is>
      </c>
      <c r="B323" s="7" t="n">
        <v>45377</v>
      </c>
      <c r="C323" s="6" t="inlineStr">
        <is>
          <t>CUST-0090</t>
        </is>
      </c>
      <c r="D323" s="6" t="inlineStr">
        <is>
          <t>Aria Brown</t>
        </is>
      </c>
      <c r="E323" s="6" t="inlineStr">
        <is>
          <t>USA</t>
        </is>
      </c>
      <c r="F323" s="6" t="inlineStr">
        <is>
          <t>Gym Bag</t>
        </is>
      </c>
      <c r="G323" s="6" t="inlineStr">
        <is>
          <t>Sports</t>
        </is>
      </c>
      <c r="H323" s="6" t="n">
        <v>4</v>
      </c>
      <c r="I323" s="8" t="n">
        <v>47.44</v>
      </c>
      <c r="J323" s="9" t="n">
        <v>0.1</v>
      </c>
      <c r="K323" s="8">
        <f>H323*I323*(1-J323)</f>
        <v/>
      </c>
      <c r="L323" s="6" t="inlineStr">
        <is>
          <t>Credit Card</t>
        </is>
      </c>
    </row>
    <row r="324">
      <c r="A324" s="2" t="inlineStr">
        <is>
          <t>ORD-00323</t>
        </is>
      </c>
      <c r="B324" s="3" t="n">
        <v>45380</v>
      </c>
      <c r="C324" s="2" t="inlineStr">
        <is>
          <t>CUST-0109</t>
        </is>
      </c>
      <c r="D324" s="2" t="inlineStr">
        <is>
          <t>Thomas Jones</t>
        </is>
      </c>
      <c r="E324" s="2" t="inlineStr">
        <is>
          <t>USA</t>
        </is>
      </c>
      <c r="F324" s="2" t="inlineStr">
        <is>
          <t>LED Desk Lamp</t>
        </is>
      </c>
      <c r="G324" s="2" t="inlineStr">
        <is>
          <t>Home &amp; Garden</t>
        </is>
      </c>
      <c r="H324" s="2" t="n">
        <v>1</v>
      </c>
      <c r="I324" s="4" t="n">
        <v>39.49</v>
      </c>
      <c r="J324" s="5" t="n">
        <v>0.05</v>
      </c>
      <c r="K324" s="4">
        <f>H324*I324*(1-J324)</f>
        <v/>
      </c>
      <c r="L324" s="2" t="inlineStr">
        <is>
          <t>Credit Card</t>
        </is>
      </c>
    </row>
    <row r="325">
      <c r="A325" s="6" t="inlineStr">
        <is>
          <t>ORD-00324</t>
        </is>
      </c>
      <c r="B325" s="7" t="n">
        <v>45380</v>
      </c>
      <c r="C325" s="6" t="inlineStr">
        <is>
          <t>CUST-0058</t>
        </is>
      </c>
      <c r="D325" s="6" t="inlineStr">
        <is>
          <t>Evelyn Jackson</t>
        </is>
      </c>
      <c r="E325" s="6" t="inlineStr">
        <is>
          <t>USA</t>
        </is>
      </c>
      <c r="F325" s="6" t="inlineStr">
        <is>
          <t>Travel Photography</t>
        </is>
      </c>
      <c r="G325" s="6" t="inlineStr">
        <is>
          <t>Books</t>
        </is>
      </c>
      <c r="H325" s="6" t="n">
        <v>1</v>
      </c>
      <c r="I325" s="8" t="n">
        <v>34.18</v>
      </c>
      <c r="J325" s="9" t="n">
        <v>0.05</v>
      </c>
      <c r="K325" s="8">
        <f>H325*I325*(1-J325)</f>
        <v/>
      </c>
      <c r="L325" s="6" t="inlineStr">
        <is>
          <t>PayPal</t>
        </is>
      </c>
    </row>
    <row r="326">
      <c r="A326" s="2" t="inlineStr">
        <is>
          <t>ORD-00325</t>
        </is>
      </c>
      <c r="B326" s="3" t="n">
        <v>45381</v>
      </c>
      <c r="C326" s="2" t="inlineStr">
        <is>
          <t>CUST-0019</t>
        </is>
      </c>
      <c r="D326" s="2" t="inlineStr">
        <is>
          <t>Noah Williams</t>
        </is>
      </c>
      <c r="E326" s="2" t="inlineStr">
        <is>
          <t>France</t>
        </is>
      </c>
      <c r="F326" s="2" t="inlineStr">
        <is>
          <t>Business Strategy</t>
        </is>
      </c>
      <c r="G326" s="2" t="inlineStr">
        <is>
          <t>Books</t>
        </is>
      </c>
      <c r="H326" s="2" t="n">
        <v>1</v>
      </c>
      <c r="I326" s="4" t="n">
        <v>32.16</v>
      </c>
      <c r="J326" s="5" t="n">
        <v>0</v>
      </c>
      <c r="K326" s="4">
        <f>H326*I326*(1-J326)</f>
        <v/>
      </c>
      <c r="L326" s="2" t="inlineStr">
        <is>
          <t>PayPal</t>
        </is>
      </c>
    </row>
    <row r="327">
      <c r="A327" s="6" t="inlineStr">
        <is>
          <t>ORD-00326</t>
        </is>
      </c>
      <c r="B327" s="7" t="n">
        <v>45381</v>
      </c>
      <c r="C327" s="6" t="inlineStr">
        <is>
          <t>CUST-0020</t>
        </is>
      </c>
      <c r="D327" s="6" t="inlineStr">
        <is>
          <t>Laura Thompson</t>
        </is>
      </c>
      <c r="E327" s="6" t="inlineStr">
        <is>
          <t>Canada</t>
        </is>
      </c>
      <c r="F327" s="6" t="inlineStr">
        <is>
          <t>Throw Pillow</t>
        </is>
      </c>
      <c r="G327" s="6" t="inlineStr">
        <is>
          <t>Home &amp; Garden</t>
        </is>
      </c>
      <c r="H327" s="6" t="n">
        <v>1</v>
      </c>
      <c r="I327" s="8" t="n">
        <v>22.33</v>
      </c>
      <c r="J327" s="9" t="n">
        <v>0</v>
      </c>
      <c r="K327" s="8">
        <f>H327*I327*(1-J327)</f>
        <v/>
      </c>
      <c r="L327" s="6" t="inlineStr">
        <is>
          <t>Bank Transfer</t>
        </is>
      </c>
    </row>
    <row r="328">
      <c r="A328" s="2" t="inlineStr">
        <is>
          <t>ORD-00327</t>
        </is>
      </c>
      <c r="B328" s="3" t="n">
        <v>45384</v>
      </c>
      <c r="C328" s="2" t="inlineStr">
        <is>
          <t>CUST-0138</t>
        </is>
      </c>
      <c r="D328" s="2" t="inlineStr">
        <is>
          <t>Anna Clark</t>
        </is>
      </c>
      <c r="E328" s="2" t="inlineStr">
        <is>
          <t>Turkey</t>
        </is>
      </c>
      <c r="F328" s="2" t="inlineStr">
        <is>
          <t>Kitchen Organizer</t>
        </is>
      </c>
      <c r="G328" s="2" t="inlineStr">
        <is>
          <t>Home &amp; Garden</t>
        </is>
      </c>
      <c r="H328" s="2" t="n">
        <v>2</v>
      </c>
      <c r="I328" s="4" t="n">
        <v>33.79</v>
      </c>
      <c r="J328" s="5" t="n">
        <v>0.05</v>
      </c>
      <c r="K328" s="4">
        <f>H328*I328*(1-J328)</f>
        <v/>
      </c>
      <c r="L328" s="2" t="inlineStr">
        <is>
          <t>Credit Card</t>
        </is>
      </c>
    </row>
    <row r="329">
      <c r="A329" s="6" t="inlineStr">
        <is>
          <t>ORD-00328</t>
        </is>
      </c>
      <c r="B329" s="7" t="n">
        <v>45384</v>
      </c>
      <c r="C329" s="6" t="inlineStr">
        <is>
          <t>CUST-0069</t>
        </is>
      </c>
      <c r="D329" s="6" t="inlineStr">
        <is>
          <t>Emma Moreau</t>
        </is>
      </c>
      <c r="E329" s="6" t="inlineStr">
        <is>
          <t>Germany</t>
        </is>
      </c>
      <c r="F329" s="6" t="inlineStr">
        <is>
          <t>Business Strategy</t>
        </is>
      </c>
      <c r="G329" s="6" t="inlineStr">
        <is>
          <t>Books</t>
        </is>
      </c>
      <c r="H329" s="6" t="n">
        <v>2</v>
      </c>
      <c r="I329" s="8" t="n">
        <v>31.64</v>
      </c>
      <c r="J329" s="9" t="n">
        <v>0</v>
      </c>
      <c r="K329" s="8">
        <f>H329*I329*(1-J329)</f>
        <v/>
      </c>
      <c r="L329" s="6" t="inlineStr">
        <is>
          <t>Credit Card</t>
        </is>
      </c>
    </row>
    <row r="330">
      <c r="A330" s="2" t="inlineStr">
        <is>
          <t>ORD-00329</t>
        </is>
      </c>
      <c r="B330" s="3" t="n">
        <v>45387</v>
      </c>
      <c r="C330" s="2" t="inlineStr">
        <is>
          <t>CUST-0120</t>
        </is>
      </c>
      <c r="D330" s="2" t="inlineStr">
        <is>
          <t>Henry Tremblay</t>
        </is>
      </c>
      <c r="E330" s="2" t="inlineStr">
        <is>
          <t>USA</t>
        </is>
      </c>
      <c r="F330" s="2" t="inlineStr">
        <is>
          <t>Water Bottle</t>
        </is>
      </c>
      <c r="G330" s="2" t="inlineStr">
        <is>
          <t>Sports</t>
        </is>
      </c>
      <c r="H330" s="2" t="n">
        <v>3</v>
      </c>
      <c r="I330" s="4" t="n">
        <v>15.17</v>
      </c>
      <c r="J330" s="5" t="n">
        <v>0.05</v>
      </c>
      <c r="K330" s="4">
        <f>H330*I330*(1-J330)</f>
        <v/>
      </c>
      <c r="L330" s="2" t="inlineStr">
        <is>
          <t>PayPal</t>
        </is>
      </c>
    </row>
    <row r="331">
      <c r="A331" s="6" t="inlineStr">
        <is>
          <t>ORD-00330</t>
        </is>
      </c>
      <c r="B331" s="7" t="n">
        <v>45388</v>
      </c>
      <c r="C331" s="6" t="inlineStr">
        <is>
          <t>CUST-0141</t>
        </is>
      </c>
      <c r="D331" s="6" t="inlineStr">
        <is>
          <t>William Miller</t>
        </is>
      </c>
      <c r="E331" s="6" t="inlineStr">
        <is>
          <t>UK</t>
        </is>
      </c>
      <c r="F331" s="6" t="inlineStr">
        <is>
          <t>Wool Scarf</t>
        </is>
      </c>
      <c r="G331" s="6" t="inlineStr">
        <is>
          <t>Clothing</t>
        </is>
      </c>
      <c r="H331" s="6" t="n">
        <v>1</v>
      </c>
      <c r="I331" s="8" t="n">
        <v>37</v>
      </c>
      <c r="J331" s="9" t="n">
        <v>0.25</v>
      </c>
      <c r="K331" s="8">
        <f>H331*I331*(1-J331)</f>
        <v/>
      </c>
      <c r="L331" s="6" t="inlineStr">
        <is>
          <t>Credit Card</t>
        </is>
      </c>
    </row>
    <row r="332">
      <c r="A332" s="2" t="inlineStr">
        <is>
          <t>ORD-00331</t>
        </is>
      </c>
      <c r="B332" s="3" t="n">
        <v>45390</v>
      </c>
      <c r="C332" s="2" t="inlineStr">
        <is>
          <t>CUST-0035</t>
        </is>
      </c>
      <c r="D332" s="2" t="inlineStr">
        <is>
          <t>Claire Campbell</t>
        </is>
      </c>
      <c r="E332" s="2" t="inlineStr">
        <is>
          <t>USA</t>
        </is>
      </c>
      <c r="F332" s="2" t="inlineStr">
        <is>
          <t>Laptop Stand</t>
        </is>
      </c>
      <c r="G332" s="2" t="inlineStr">
        <is>
          <t>Electronics</t>
        </is>
      </c>
      <c r="H332" s="2" t="n">
        <v>2</v>
      </c>
      <c r="I332" s="4" t="n">
        <v>45.28</v>
      </c>
      <c r="J332" s="5" t="n">
        <v>0</v>
      </c>
      <c r="K332" s="4">
        <f>H332*I332*(1-J332)</f>
        <v/>
      </c>
      <c r="L332" s="2" t="inlineStr">
        <is>
          <t>PayPal</t>
        </is>
      </c>
    </row>
    <row r="333">
      <c r="A333" s="6" t="inlineStr">
        <is>
          <t>ORD-00332</t>
        </is>
      </c>
      <c r="B333" s="7" t="n">
        <v>45390</v>
      </c>
      <c r="C333" s="6" t="inlineStr">
        <is>
          <t>CUST-0027</t>
        </is>
      </c>
      <c r="D333" s="6" t="inlineStr">
        <is>
          <t>Amelia Wilson</t>
        </is>
      </c>
      <c r="E333" s="6" t="inlineStr">
        <is>
          <t>UK</t>
        </is>
      </c>
      <c r="F333" s="6" t="inlineStr">
        <is>
          <t>Wall Clock</t>
        </is>
      </c>
      <c r="G333" s="6" t="inlineStr">
        <is>
          <t>Home &amp; Garden</t>
        </is>
      </c>
      <c r="H333" s="6" t="n">
        <v>4</v>
      </c>
      <c r="I333" s="8" t="n">
        <v>42.17</v>
      </c>
      <c r="J333" s="9" t="n">
        <v>0.1</v>
      </c>
      <c r="K333" s="8">
        <f>H333*I333*(1-J333)</f>
        <v/>
      </c>
      <c r="L333" s="6" t="inlineStr">
        <is>
          <t>PayPal</t>
        </is>
      </c>
    </row>
    <row r="334">
      <c r="A334" s="2" t="inlineStr">
        <is>
          <t>ORD-00333</t>
        </is>
      </c>
      <c r="B334" s="3" t="n">
        <v>45392</v>
      </c>
      <c r="C334" s="2" t="inlineStr">
        <is>
          <t>CUST-0095</t>
        </is>
      </c>
      <c r="D334" s="2" t="inlineStr">
        <is>
          <t>Charlotte Brown</t>
        </is>
      </c>
      <c r="E334" s="2" t="inlineStr">
        <is>
          <t>Germany</t>
        </is>
      </c>
      <c r="F334" s="2" t="inlineStr">
        <is>
          <t>Gym Bag</t>
        </is>
      </c>
      <c r="G334" s="2" t="inlineStr">
        <is>
          <t>Sports</t>
        </is>
      </c>
      <c r="H334" s="2" t="n">
        <v>1</v>
      </c>
      <c r="I334" s="4" t="n">
        <v>32.85</v>
      </c>
      <c r="J334" s="5" t="n">
        <v>0.1</v>
      </c>
      <c r="K334" s="4">
        <f>H334*I334*(1-J334)</f>
        <v/>
      </c>
      <c r="L334" s="2" t="inlineStr">
        <is>
          <t>Credit Card</t>
        </is>
      </c>
    </row>
    <row r="335">
      <c r="A335" s="6" t="inlineStr">
        <is>
          <t>ORD-00334</t>
        </is>
      </c>
      <c r="B335" s="7" t="n">
        <v>45392</v>
      </c>
      <c r="C335" s="6" t="inlineStr">
        <is>
          <t>CUST-0024</t>
        </is>
      </c>
      <c r="D335" s="6" t="inlineStr">
        <is>
          <t>Robert Lee</t>
        </is>
      </c>
      <c r="E335" s="6" t="inlineStr">
        <is>
          <t>France</t>
        </is>
      </c>
      <c r="F335" s="6" t="inlineStr">
        <is>
          <t>Gym Bag</t>
        </is>
      </c>
      <c r="G335" s="6" t="inlineStr">
        <is>
          <t>Sports</t>
        </is>
      </c>
      <c r="H335" s="6" t="n">
        <v>5</v>
      </c>
      <c r="I335" s="8" t="n">
        <v>44.17</v>
      </c>
      <c r="J335" s="9" t="n">
        <v>0</v>
      </c>
      <c r="K335" s="8">
        <f>H335*I335*(1-J335)</f>
        <v/>
      </c>
      <c r="L335" s="6" t="inlineStr">
        <is>
          <t>Credit Card</t>
        </is>
      </c>
    </row>
    <row r="336">
      <c r="A336" s="2" t="inlineStr">
        <is>
          <t>ORD-00335</t>
        </is>
      </c>
      <c r="B336" s="3" t="n">
        <v>45395</v>
      </c>
      <c r="C336" s="2" t="inlineStr">
        <is>
          <t>CUST-0045</t>
        </is>
      </c>
      <c r="D336" s="2" t="inlineStr">
        <is>
          <t>Sophie Smith</t>
        </is>
      </c>
      <c r="E336" s="2" t="inlineStr">
        <is>
          <t>France</t>
        </is>
      </c>
      <c r="F336" s="2" t="inlineStr">
        <is>
          <t>Gym Bag</t>
        </is>
      </c>
      <c r="G336" s="2" t="inlineStr">
        <is>
          <t>Sports</t>
        </is>
      </c>
      <c r="H336" s="2" t="n">
        <v>4</v>
      </c>
      <c r="I336" s="4" t="n">
        <v>49.01</v>
      </c>
      <c r="J336" s="5" t="n">
        <v>0.05</v>
      </c>
      <c r="K336" s="4">
        <f>H336*I336*(1-J336)</f>
        <v/>
      </c>
      <c r="L336" s="2" t="inlineStr">
        <is>
          <t>PayPal</t>
        </is>
      </c>
    </row>
    <row r="337">
      <c r="A337" s="6" t="inlineStr">
        <is>
          <t>ORD-00336</t>
        </is>
      </c>
      <c r="B337" s="7" t="n">
        <v>45396</v>
      </c>
      <c r="C337" s="6" t="inlineStr">
        <is>
          <t>CUST-0118</t>
        </is>
      </c>
      <c r="D337" s="6" t="inlineStr">
        <is>
          <t>Oliver Rodriguez</t>
        </is>
      </c>
      <c r="E337" s="6" t="inlineStr">
        <is>
          <t>USA</t>
        </is>
      </c>
      <c r="F337" s="6" t="inlineStr">
        <is>
          <t>Python Programming</t>
        </is>
      </c>
      <c r="G337" s="6" t="inlineStr">
        <is>
          <t>Books</t>
        </is>
      </c>
      <c r="H337" s="6" t="n">
        <v>1</v>
      </c>
      <c r="I337" s="8" t="n">
        <v>39.63</v>
      </c>
      <c r="J337" s="9" t="n">
        <v>0</v>
      </c>
      <c r="K337" s="8">
        <f>H337*I337*(1-J337)</f>
        <v/>
      </c>
      <c r="L337" s="6" t="inlineStr">
        <is>
          <t>PayPal</t>
        </is>
      </c>
    </row>
    <row r="338">
      <c r="A338" s="2" t="inlineStr">
        <is>
          <t>ORD-00337</t>
        </is>
      </c>
      <c r="B338" s="3" t="n">
        <v>45397</v>
      </c>
      <c r="C338" s="2" t="inlineStr">
        <is>
          <t>CUST-0066</t>
        </is>
      </c>
      <c r="D338" s="2" t="inlineStr">
        <is>
          <t>Aria Kim</t>
        </is>
      </c>
      <c r="E338" s="2" t="inlineStr">
        <is>
          <t>France</t>
        </is>
      </c>
      <c r="F338" s="2" t="inlineStr">
        <is>
          <t>Fitness Tracker</t>
        </is>
      </c>
      <c r="G338" s="2" t="inlineStr">
        <is>
          <t>Sports</t>
        </is>
      </c>
      <c r="H338" s="2" t="n">
        <v>2</v>
      </c>
      <c r="I338" s="4" t="n">
        <v>75.05</v>
      </c>
      <c r="J338" s="5" t="n">
        <v>0</v>
      </c>
      <c r="K338" s="4">
        <f>H338*I338*(1-J338)</f>
        <v/>
      </c>
      <c r="L338" s="2" t="inlineStr">
        <is>
          <t>Credit Card</t>
        </is>
      </c>
    </row>
    <row r="339">
      <c r="A339" s="6" t="inlineStr">
        <is>
          <t>ORD-00338</t>
        </is>
      </c>
      <c r="B339" s="7" t="n">
        <v>45397</v>
      </c>
      <c r="C339" s="6" t="inlineStr">
        <is>
          <t>CUST-0137</t>
        </is>
      </c>
      <c r="D339" s="6" t="inlineStr">
        <is>
          <t>Mia Dupont</t>
        </is>
      </c>
      <c r="E339" s="6" t="inlineStr">
        <is>
          <t>USA</t>
        </is>
      </c>
      <c r="F339" s="6" t="inlineStr">
        <is>
          <t>Running Shoes</t>
        </is>
      </c>
      <c r="G339" s="6" t="inlineStr">
        <is>
          <t>Clothing</t>
        </is>
      </c>
      <c r="H339" s="6" t="n">
        <v>4</v>
      </c>
      <c r="I339" s="8" t="n">
        <v>107.3</v>
      </c>
      <c r="J339" s="9" t="n">
        <v>0.1</v>
      </c>
      <c r="K339" s="8">
        <f>H339*I339*(1-J339)</f>
        <v/>
      </c>
      <c r="L339" s="6" t="inlineStr">
        <is>
          <t>PayPal</t>
        </is>
      </c>
    </row>
    <row r="340">
      <c r="A340" s="2" t="inlineStr">
        <is>
          <t>ORD-00339</t>
        </is>
      </c>
      <c r="B340" s="3" t="n">
        <v>45399</v>
      </c>
      <c r="C340" s="2" t="inlineStr">
        <is>
          <t>CUST-0047</t>
        </is>
      </c>
      <c r="D340" s="2" t="inlineStr">
        <is>
          <t>Thomas Lee</t>
        </is>
      </c>
      <c r="E340" s="2" t="inlineStr">
        <is>
          <t>Turkey</t>
        </is>
      </c>
      <c r="F340" s="2" t="inlineStr">
        <is>
          <t>Power Bank</t>
        </is>
      </c>
      <c r="G340" s="2" t="inlineStr">
        <is>
          <t>Electronics</t>
        </is>
      </c>
      <c r="H340" s="2" t="n">
        <v>2</v>
      </c>
      <c r="I340" s="4" t="n">
        <v>33.08</v>
      </c>
      <c r="J340" s="5" t="n">
        <v>0</v>
      </c>
      <c r="K340" s="4">
        <f>H340*I340*(1-J340)</f>
        <v/>
      </c>
      <c r="L340" s="2" t="inlineStr">
        <is>
          <t>Bank Transfer</t>
        </is>
      </c>
    </row>
    <row r="341">
      <c r="A341" s="6" t="inlineStr">
        <is>
          <t>ORD-00340</t>
        </is>
      </c>
      <c r="B341" s="7" t="n">
        <v>45399</v>
      </c>
      <c r="C341" s="6" t="inlineStr">
        <is>
          <t>CUST-0054</t>
        </is>
      </c>
      <c r="D341" s="6" t="inlineStr">
        <is>
          <t>Isabella Kaya</t>
        </is>
      </c>
      <c r="E341" s="6" t="inlineStr">
        <is>
          <t>Turkey</t>
        </is>
      </c>
      <c r="F341" s="6" t="inlineStr">
        <is>
          <t>Running Shoes</t>
        </is>
      </c>
      <c r="G341" s="6" t="inlineStr">
        <is>
          <t>Clothing</t>
        </is>
      </c>
      <c r="H341" s="6" t="n">
        <v>1</v>
      </c>
      <c r="I341" s="8" t="n">
        <v>118.18</v>
      </c>
      <c r="J341" s="9" t="n">
        <v>0.15</v>
      </c>
      <c r="K341" s="8">
        <f>H341*I341*(1-J341)</f>
        <v/>
      </c>
      <c r="L341" s="6" t="inlineStr">
        <is>
          <t>PayPal</t>
        </is>
      </c>
    </row>
    <row r="342">
      <c r="A342" s="2" t="inlineStr">
        <is>
          <t>ORD-00341</t>
        </is>
      </c>
      <c r="B342" s="3" t="n">
        <v>45400</v>
      </c>
      <c r="C342" s="2" t="inlineStr">
        <is>
          <t>CUST-0060</t>
        </is>
      </c>
      <c r="D342" s="2" t="inlineStr">
        <is>
          <t>Ayse Jones</t>
        </is>
      </c>
      <c r="E342" s="2" t="inlineStr">
        <is>
          <t>Canada</t>
        </is>
      </c>
      <c r="F342" s="2" t="inlineStr">
        <is>
          <t>Gym Bag</t>
        </is>
      </c>
      <c r="G342" s="2" t="inlineStr">
        <is>
          <t>Sports</t>
        </is>
      </c>
      <c r="H342" s="2" t="n">
        <v>2</v>
      </c>
      <c r="I342" s="4" t="n">
        <v>30.52</v>
      </c>
      <c r="J342" s="5" t="n">
        <v>0.05</v>
      </c>
      <c r="K342" s="4">
        <f>H342*I342*(1-J342)</f>
        <v/>
      </c>
      <c r="L342" s="2" t="inlineStr">
        <is>
          <t>Credit Card</t>
        </is>
      </c>
    </row>
    <row r="343">
      <c r="A343" s="6" t="inlineStr">
        <is>
          <t>ORD-00342</t>
        </is>
      </c>
      <c r="B343" s="7" t="n">
        <v>45402</v>
      </c>
      <c r="C343" s="6" t="inlineStr">
        <is>
          <t>CUST-0136</t>
        </is>
      </c>
      <c r="D343" s="6" t="inlineStr">
        <is>
          <t>Amelia Wilson</t>
        </is>
      </c>
      <c r="E343" s="6" t="inlineStr">
        <is>
          <t>Canada</t>
        </is>
      </c>
      <c r="F343" s="6" t="inlineStr">
        <is>
          <t>Cooking Masterclass</t>
        </is>
      </c>
      <c r="G343" s="6" t="inlineStr">
        <is>
          <t>Books</t>
        </is>
      </c>
      <c r="H343" s="6" t="n">
        <v>3</v>
      </c>
      <c r="I343" s="8" t="n">
        <v>31.34</v>
      </c>
      <c r="J343" s="9" t="n">
        <v>0.05</v>
      </c>
      <c r="K343" s="8">
        <f>H343*I343*(1-J343)</f>
        <v/>
      </c>
      <c r="L343" s="6" t="inlineStr">
        <is>
          <t>PayPal</t>
        </is>
      </c>
    </row>
    <row r="344">
      <c r="A344" s="2" t="inlineStr">
        <is>
          <t>ORD-00343</t>
        </is>
      </c>
      <c r="B344" s="3" t="n">
        <v>45402</v>
      </c>
      <c r="C344" s="2" t="inlineStr">
        <is>
          <t>CUST-0095</t>
        </is>
      </c>
      <c r="D344" s="2" t="inlineStr">
        <is>
          <t>Charlotte Brown</t>
        </is>
      </c>
      <c r="E344" s="2" t="inlineStr">
        <is>
          <t>Germany</t>
        </is>
      </c>
      <c r="F344" s="2" t="inlineStr">
        <is>
          <t>LED Desk Lamp</t>
        </is>
      </c>
      <c r="G344" s="2" t="inlineStr">
        <is>
          <t>Home &amp; Garden</t>
        </is>
      </c>
      <c r="H344" s="2" t="n">
        <v>3</v>
      </c>
      <c r="I344" s="4" t="n">
        <v>59.91</v>
      </c>
      <c r="J344" s="5" t="n">
        <v>0.1</v>
      </c>
      <c r="K344" s="4">
        <f>H344*I344*(1-J344)</f>
        <v/>
      </c>
      <c r="L344" s="2" t="inlineStr">
        <is>
          <t>Credit Card</t>
        </is>
      </c>
    </row>
    <row r="345">
      <c r="A345" s="6" t="inlineStr">
        <is>
          <t>ORD-00344</t>
        </is>
      </c>
      <c r="B345" s="7" t="n">
        <v>45405</v>
      </c>
      <c r="C345" s="6" t="inlineStr">
        <is>
          <t>CUST-0128</t>
        </is>
      </c>
      <c r="D345" s="6" t="inlineStr">
        <is>
          <t>Sophia Jones</t>
        </is>
      </c>
      <c r="E345" s="6" t="inlineStr">
        <is>
          <t>Canada</t>
        </is>
      </c>
      <c r="F345" s="6" t="inlineStr">
        <is>
          <t>Self-Help Guide</t>
        </is>
      </c>
      <c r="G345" s="6" t="inlineStr">
        <is>
          <t>Books</t>
        </is>
      </c>
      <c r="H345" s="6" t="n">
        <v>4</v>
      </c>
      <c r="I345" s="8" t="n">
        <v>13.27</v>
      </c>
      <c r="J345" s="9" t="n">
        <v>0.05</v>
      </c>
      <c r="K345" s="8">
        <f>H345*I345*(1-J345)</f>
        <v/>
      </c>
      <c r="L345" s="6" t="inlineStr">
        <is>
          <t>Bank Transfer</t>
        </is>
      </c>
    </row>
    <row r="346">
      <c r="A346" s="2" t="inlineStr">
        <is>
          <t>ORD-00345</t>
        </is>
      </c>
      <c r="B346" s="3" t="n">
        <v>45407</v>
      </c>
      <c r="C346" s="2" t="inlineStr">
        <is>
          <t>CUST-0082</t>
        </is>
      </c>
      <c r="D346" s="2" t="inlineStr">
        <is>
          <t>Oliver Jackson</t>
        </is>
      </c>
      <c r="E346" s="2" t="inlineStr">
        <is>
          <t>USA</t>
        </is>
      </c>
      <c r="F346" s="2" t="inlineStr">
        <is>
          <t>Business Strategy</t>
        </is>
      </c>
      <c r="G346" s="2" t="inlineStr">
        <is>
          <t>Books</t>
        </is>
      </c>
      <c r="H346" s="2" t="n">
        <v>1</v>
      </c>
      <c r="I346" s="4" t="n">
        <v>26.25</v>
      </c>
      <c r="J346" s="5" t="n">
        <v>0.15</v>
      </c>
      <c r="K346" s="4">
        <f>H346*I346*(1-J346)</f>
        <v/>
      </c>
      <c r="L346" s="2" t="inlineStr">
        <is>
          <t>PayPal</t>
        </is>
      </c>
    </row>
    <row r="347">
      <c r="A347" s="6" t="inlineStr">
        <is>
          <t>ORD-00346</t>
        </is>
      </c>
      <c r="B347" s="7" t="n">
        <v>45407</v>
      </c>
      <c r="C347" s="6" t="inlineStr">
        <is>
          <t>CUST-0137</t>
        </is>
      </c>
      <c r="D347" s="6" t="inlineStr">
        <is>
          <t>Mia Dupont</t>
        </is>
      </c>
      <c r="E347" s="6" t="inlineStr">
        <is>
          <t>USA</t>
        </is>
      </c>
      <c r="F347" s="6" t="inlineStr">
        <is>
          <t>Smart Watch Band</t>
        </is>
      </c>
      <c r="G347" s="6" t="inlineStr">
        <is>
          <t>Electronics</t>
        </is>
      </c>
      <c r="H347" s="6" t="n">
        <v>2</v>
      </c>
      <c r="I347" s="8" t="n">
        <v>33.82</v>
      </c>
      <c r="J347" s="9" t="n">
        <v>0</v>
      </c>
      <c r="K347" s="8">
        <f>H347*I347*(1-J347)</f>
        <v/>
      </c>
      <c r="L347" s="6" t="inlineStr">
        <is>
          <t>Credit Card</t>
        </is>
      </c>
    </row>
    <row r="348">
      <c r="A348" s="2" t="inlineStr">
        <is>
          <t>ORD-00347</t>
        </is>
      </c>
      <c r="B348" s="3" t="n">
        <v>45408</v>
      </c>
      <c r="C348" s="2" t="inlineStr">
        <is>
          <t>CUST-0075</t>
        </is>
      </c>
      <c r="D348" s="2" t="inlineStr">
        <is>
          <t>Elijah Bernard</t>
        </is>
      </c>
      <c r="E348" s="2" t="inlineStr">
        <is>
          <t>Germany</t>
        </is>
      </c>
      <c r="F348" s="2" t="inlineStr">
        <is>
          <t>Laptop Stand</t>
        </is>
      </c>
      <c r="G348" s="2" t="inlineStr">
        <is>
          <t>Electronics</t>
        </is>
      </c>
      <c r="H348" s="2" t="n">
        <v>3</v>
      </c>
      <c r="I348" s="4" t="n">
        <v>41.2</v>
      </c>
      <c r="J348" s="5" t="n">
        <v>0.05</v>
      </c>
      <c r="K348" s="4">
        <f>H348*I348*(1-J348)</f>
        <v/>
      </c>
      <c r="L348" s="2" t="inlineStr">
        <is>
          <t>PayPal</t>
        </is>
      </c>
    </row>
    <row r="349">
      <c r="A349" s="6" t="inlineStr">
        <is>
          <t>ORD-00348</t>
        </is>
      </c>
      <c r="B349" s="7" t="n">
        <v>45410</v>
      </c>
      <c r="C349" s="6" t="inlineStr">
        <is>
          <t>CUST-0026</t>
        </is>
      </c>
      <c r="D349" s="6" t="inlineStr">
        <is>
          <t>Jean Wilson</t>
        </is>
      </c>
      <c r="E349" s="6" t="inlineStr">
        <is>
          <t>Germany</t>
        </is>
      </c>
      <c r="F349" s="6" t="inlineStr">
        <is>
          <t>Resistance Bands</t>
        </is>
      </c>
      <c r="G349" s="6" t="inlineStr">
        <is>
          <t>Sports</t>
        </is>
      </c>
      <c r="H349" s="6" t="n">
        <v>2</v>
      </c>
      <c r="I349" s="8" t="n">
        <v>10.09</v>
      </c>
      <c r="J349" s="9" t="n">
        <v>0.2</v>
      </c>
      <c r="K349" s="8">
        <f>H349*I349*(1-J349)</f>
        <v/>
      </c>
      <c r="L349" s="6" t="inlineStr">
        <is>
          <t>Credit Card</t>
        </is>
      </c>
    </row>
    <row r="350">
      <c r="A350" s="2" t="inlineStr">
        <is>
          <t>ORD-00349</t>
        </is>
      </c>
      <c r="B350" s="3" t="n">
        <v>45413</v>
      </c>
      <c r="C350" s="2" t="inlineStr">
        <is>
          <t>CUST-0069</t>
        </is>
      </c>
      <c r="D350" s="2" t="inlineStr">
        <is>
          <t>Emma Moreau</t>
        </is>
      </c>
      <c r="E350" s="2" t="inlineStr">
        <is>
          <t>Germany</t>
        </is>
      </c>
      <c r="F350" s="2" t="inlineStr">
        <is>
          <t>Python Programming</t>
        </is>
      </c>
      <c r="G350" s="2" t="inlineStr">
        <is>
          <t>Books</t>
        </is>
      </c>
      <c r="H350" s="2" t="n">
        <v>3</v>
      </c>
      <c r="I350" s="4" t="n">
        <v>36.75</v>
      </c>
      <c r="J350" s="5" t="n">
        <v>0</v>
      </c>
      <c r="K350" s="4">
        <f>H350*I350*(1-J350)</f>
        <v/>
      </c>
      <c r="L350" s="2" t="inlineStr">
        <is>
          <t>PayPal</t>
        </is>
      </c>
    </row>
    <row r="351">
      <c r="A351" s="6" t="inlineStr">
        <is>
          <t>ORD-00350</t>
        </is>
      </c>
      <c r="B351" s="7" t="n">
        <v>45414</v>
      </c>
      <c r="C351" s="6" t="inlineStr">
        <is>
          <t>CUST-0123</t>
        </is>
      </c>
      <c r="D351" s="6" t="inlineStr">
        <is>
          <t>Olivia Garcia</t>
        </is>
      </c>
      <c r="E351" s="6" t="inlineStr">
        <is>
          <t>France</t>
        </is>
      </c>
      <c r="F351" s="6" t="inlineStr">
        <is>
          <t>Water Bottle</t>
        </is>
      </c>
      <c r="G351" s="6" t="inlineStr">
        <is>
          <t>Sports</t>
        </is>
      </c>
      <c r="H351" s="6" t="n">
        <v>2</v>
      </c>
      <c r="I351" s="8" t="n">
        <v>18.45</v>
      </c>
      <c r="J351" s="9" t="n">
        <v>0.2</v>
      </c>
      <c r="K351" s="8">
        <f>H351*I351*(1-J351)</f>
        <v/>
      </c>
      <c r="L351" s="6" t="inlineStr">
        <is>
          <t>Credit Card</t>
        </is>
      </c>
    </row>
    <row r="352">
      <c r="A352" s="2" t="inlineStr">
        <is>
          <t>ORD-00351</t>
        </is>
      </c>
      <c r="B352" s="3" t="n">
        <v>45417</v>
      </c>
      <c r="C352" s="2" t="inlineStr">
        <is>
          <t>CUST-0135</t>
        </is>
      </c>
      <c r="D352" s="2" t="inlineStr">
        <is>
          <t>Michael Roy</t>
        </is>
      </c>
      <c r="E352" s="2" t="inlineStr">
        <is>
          <t>France</t>
        </is>
      </c>
      <c r="F352" s="2" t="inlineStr">
        <is>
          <t>Winter Jacket</t>
        </is>
      </c>
      <c r="G352" s="2" t="inlineStr">
        <is>
          <t>Clothing</t>
        </is>
      </c>
      <c r="H352" s="2" t="n">
        <v>1</v>
      </c>
      <c r="I352" s="4" t="n">
        <v>135.86</v>
      </c>
      <c r="J352" s="5" t="n">
        <v>0.25</v>
      </c>
      <c r="K352" s="4">
        <f>H352*I352*(1-J352)</f>
        <v/>
      </c>
      <c r="L352" s="2" t="inlineStr">
        <is>
          <t>PayPal</t>
        </is>
      </c>
    </row>
    <row r="353">
      <c r="A353" s="6" t="inlineStr">
        <is>
          <t>ORD-00352</t>
        </is>
      </c>
      <c r="B353" s="7" t="n">
        <v>45417</v>
      </c>
      <c r="C353" s="6" t="inlineStr">
        <is>
          <t>CUST-0063</t>
        </is>
      </c>
      <c r="D353" s="6" t="inlineStr">
        <is>
          <t>Marie Tremblay</t>
        </is>
      </c>
      <c r="E353" s="6" t="inlineStr">
        <is>
          <t>UK</t>
        </is>
      </c>
      <c r="F353" s="6" t="inlineStr">
        <is>
          <t>Gym Bag</t>
        </is>
      </c>
      <c r="G353" s="6" t="inlineStr">
        <is>
          <t>Sports</t>
        </is>
      </c>
      <c r="H353" s="6" t="n">
        <v>4</v>
      </c>
      <c r="I353" s="8" t="n">
        <v>31.13</v>
      </c>
      <c r="J353" s="9" t="n">
        <v>0.05</v>
      </c>
      <c r="K353" s="8">
        <f>H353*I353*(1-J353)</f>
        <v/>
      </c>
      <c r="L353" s="6" t="inlineStr">
        <is>
          <t>PayPal</t>
        </is>
      </c>
    </row>
    <row r="354">
      <c r="A354" s="2" t="inlineStr">
        <is>
          <t>ORD-00353</t>
        </is>
      </c>
      <c r="B354" s="3" t="n">
        <v>45419</v>
      </c>
      <c r="C354" s="2" t="inlineStr">
        <is>
          <t>CUST-0085</t>
        </is>
      </c>
      <c r="D354" s="2" t="inlineStr">
        <is>
          <t>Noah Wilson</t>
        </is>
      </c>
      <c r="E354" s="2" t="inlineStr">
        <is>
          <t>Turkey</t>
        </is>
      </c>
      <c r="F354" s="2" t="inlineStr">
        <is>
          <t>Wireless Headphones</t>
        </is>
      </c>
      <c r="G354" s="2" t="inlineStr">
        <is>
          <t>Electronics</t>
        </is>
      </c>
      <c r="H354" s="2" t="n">
        <v>4</v>
      </c>
      <c r="I354" s="4" t="n">
        <v>103.72</v>
      </c>
      <c r="J354" s="5" t="n">
        <v>0.15</v>
      </c>
      <c r="K354" s="4">
        <f>H354*I354*(1-J354)</f>
        <v/>
      </c>
      <c r="L354" s="2" t="inlineStr">
        <is>
          <t>PayPal</t>
        </is>
      </c>
    </row>
    <row r="355">
      <c r="A355" s="6" t="inlineStr">
        <is>
          <t>ORD-00354</t>
        </is>
      </c>
      <c r="B355" s="7" t="n">
        <v>45420</v>
      </c>
      <c r="C355" s="6" t="inlineStr">
        <is>
          <t>CUST-0017</t>
        </is>
      </c>
      <c r="D355" s="6" t="inlineStr">
        <is>
          <t>Jean Roy</t>
        </is>
      </c>
      <c r="E355" s="6" t="inlineStr">
        <is>
          <t>Turkey</t>
        </is>
      </c>
      <c r="F355" s="6" t="inlineStr">
        <is>
          <t>Running Shoes</t>
        </is>
      </c>
      <c r="G355" s="6" t="inlineStr">
        <is>
          <t>Clothing</t>
        </is>
      </c>
      <c r="H355" s="6" t="n">
        <v>4</v>
      </c>
      <c r="I355" s="8" t="n">
        <v>104.83</v>
      </c>
      <c r="J355" s="9" t="n">
        <v>0</v>
      </c>
      <c r="K355" s="8">
        <f>H355*I355*(1-J355)</f>
        <v/>
      </c>
      <c r="L355" s="6" t="inlineStr">
        <is>
          <t>PayPal</t>
        </is>
      </c>
    </row>
    <row r="356">
      <c r="A356" s="2" t="inlineStr">
        <is>
          <t>ORD-00355</t>
        </is>
      </c>
      <c r="B356" s="3" t="n">
        <v>45421</v>
      </c>
      <c r="C356" s="2" t="inlineStr">
        <is>
          <t>CUST-0028</t>
        </is>
      </c>
      <c r="D356" s="2" t="inlineStr">
        <is>
          <t>Harper Chen</t>
        </is>
      </c>
      <c r="E356" s="2" t="inlineStr">
        <is>
          <t>France</t>
        </is>
      </c>
      <c r="F356" s="2" t="inlineStr">
        <is>
          <t>Wireless Mouse</t>
        </is>
      </c>
      <c r="G356" s="2" t="inlineStr">
        <is>
          <t>Electronics</t>
        </is>
      </c>
      <c r="H356" s="2" t="n">
        <v>5</v>
      </c>
      <c r="I356" s="4" t="n">
        <v>29.36</v>
      </c>
      <c r="J356" s="5" t="n">
        <v>0</v>
      </c>
      <c r="K356" s="4">
        <f>H356*I356*(1-J356)</f>
        <v/>
      </c>
      <c r="L356" s="2" t="inlineStr">
        <is>
          <t>Bank Transfer</t>
        </is>
      </c>
    </row>
    <row r="357">
      <c r="A357" s="6" t="inlineStr">
        <is>
          <t>ORD-00356</t>
        </is>
      </c>
      <c r="B357" s="7" t="n">
        <v>45421</v>
      </c>
      <c r="C357" s="6" t="inlineStr">
        <is>
          <t>CUST-0146</t>
        </is>
      </c>
      <c r="D357" s="6" t="inlineStr">
        <is>
          <t>Noah Lee</t>
        </is>
      </c>
      <c r="E357" s="6" t="inlineStr">
        <is>
          <t>UK</t>
        </is>
      </c>
      <c r="F357" s="6" t="inlineStr">
        <is>
          <t>Resistance Bands</t>
        </is>
      </c>
      <c r="G357" s="6" t="inlineStr">
        <is>
          <t>Sports</t>
        </is>
      </c>
      <c r="H357" s="6" t="n">
        <v>3</v>
      </c>
      <c r="I357" s="8" t="n">
        <v>22.22</v>
      </c>
      <c r="J357" s="9" t="n">
        <v>0.1</v>
      </c>
      <c r="K357" s="8">
        <f>H357*I357*(1-J357)</f>
        <v/>
      </c>
      <c r="L357" s="6" t="inlineStr">
        <is>
          <t>Bank Transfer</t>
        </is>
      </c>
    </row>
    <row r="358">
      <c r="A358" s="2" t="inlineStr">
        <is>
          <t>ORD-00357</t>
        </is>
      </c>
      <c r="B358" s="3" t="n">
        <v>45424</v>
      </c>
      <c r="C358" s="2" t="inlineStr">
        <is>
          <t>CUST-0008</t>
        </is>
      </c>
      <c r="D358" s="2" t="inlineStr">
        <is>
          <t>William Fischer</t>
        </is>
      </c>
      <c r="E358" s="2" t="inlineStr">
        <is>
          <t>UK</t>
        </is>
      </c>
      <c r="F358" s="2" t="inlineStr">
        <is>
          <t>Leather Belt</t>
        </is>
      </c>
      <c r="G358" s="2" t="inlineStr">
        <is>
          <t>Clothing</t>
        </is>
      </c>
      <c r="H358" s="2" t="n">
        <v>2</v>
      </c>
      <c r="I358" s="4" t="n">
        <v>45.36</v>
      </c>
      <c r="J358" s="5" t="n">
        <v>0</v>
      </c>
      <c r="K358" s="4">
        <f>H358*I358*(1-J358)</f>
        <v/>
      </c>
      <c r="L358" s="2" t="inlineStr">
        <is>
          <t>Credit Card</t>
        </is>
      </c>
    </row>
    <row r="359">
      <c r="A359" s="6" t="inlineStr">
        <is>
          <t>ORD-00358</t>
        </is>
      </c>
      <c r="B359" s="7" t="n">
        <v>45427</v>
      </c>
      <c r="C359" s="6" t="inlineStr">
        <is>
          <t>CUST-0126</t>
        </is>
      </c>
      <c r="D359" s="6" t="inlineStr">
        <is>
          <t>Alexander Wilson</t>
        </is>
      </c>
      <c r="E359" s="6" t="inlineStr">
        <is>
          <t>France</t>
        </is>
      </c>
      <c r="F359" s="6" t="inlineStr">
        <is>
          <t>Leather Belt</t>
        </is>
      </c>
      <c r="G359" s="6" t="inlineStr">
        <is>
          <t>Clothing</t>
        </is>
      </c>
      <c r="H359" s="6" t="n">
        <v>1</v>
      </c>
      <c r="I359" s="8" t="n">
        <v>48.84</v>
      </c>
      <c r="J359" s="9" t="n">
        <v>0.1</v>
      </c>
      <c r="K359" s="8">
        <f>H359*I359*(1-J359)</f>
        <v/>
      </c>
      <c r="L359" s="6" t="inlineStr">
        <is>
          <t>Credit Card</t>
        </is>
      </c>
    </row>
    <row r="360">
      <c r="A360" s="2" t="inlineStr">
        <is>
          <t>ORD-00359</t>
        </is>
      </c>
      <c r="B360" s="3" t="n">
        <v>45428</v>
      </c>
      <c r="C360" s="2" t="inlineStr">
        <is>
          <t>CUST-0028</t>
        </is>
      </c>
      <c r="D360" s="2" t="inlineStr">
        <is>
          <t>Harper Chen</t>
        </is>
      </c>
      <c r="E360" s="2" t="inlineStr">
        <is>
          <t>France</t>
        </is>
      </c>
      <c r="F360" s="2" t="inlineStr">
        <is>
          <t>Running Shoes</t>
        </is>
      </c>
      <c r="G360" s="2" t="inlineStr">
        <is>
          <t>Clothing</t>
        </is>
      </c>
      <c r="H360" s="2" t="n">
        <v>3</v>
      </c>
      <c r="I360" s="4" t="n">
        <v>104.48</v>
      </c>
      <c r="J360" s="5" t="n">
        <v>0.1</v>
      </c>
      <c r="K360" s="4">
        <f>H360*I360*(1-J360)</f>
        <v/>
      </c>
      <c r="L360" s="2" t="inlineStr">
        <is>
          <t>Credit Card</t>
        </is>
      </c>
    </row>
    <row r="361">
      <c r="A361" s="6" t="inlineStr">
        <is>
          <t>ORD-00360</t>
        </is>
      </c>
      <c r="B361" s="7" t="n">
        <v>45428</v>
      </c>
      <c r="C361" s="6" t="inlineStr">
        <is>
          <t>CUST-0136</t>
        </is>
      </c>
      <c r="D361" s="6" t="inlineStr">
        <is>
          <t>Amelia Wilson</t>
        </is>
      </c>
      <c r="E361" s="6" t="inlineStr">
        <is>
          <t>Canada</t>
        </is>
      </c>
      <c r="F361" s="6" t="inlineStr">
        <is>
          <t>Business Strategy</t>
        </is>
      </c>
      <c r="G361" s="6" t="inlineStr">
        <is>
          <t>Books</t>
        </is>
      </c>
      <c r="H361" s="6" t="n">
        <v>2</v>
      </c>
      <c r="I361" s="8" t="n">
        <v>31.93</v>
      </c>
      <c r="J361" s="9" t="n">
        <v>0.05</v>
      </c>
      <c r="K361" s="8">
        <f>H361*I361*(1-J361)</f>
        <v/>
      </c>
      <c r="L361" s="6" t="inlineStr">
        <is>
          <t>Credit Card</t>
        </is>
      </c>
    </row>
    <row r="362">
      <c r="A362" s="2" t="inlineStr">
        <is>
          <t>ORD-00361</t>
        </is>
      </c>
      <c r="B362" s="3" t="n">
        <v>45429</v>
      </c>
      <c r="C362" s="2" t="inlineStr">
        <is>
          <t>CUST-0027</t>
        </is>
      </c>
      <c r="D362" s="2" t="inlineStr">
        <is>
          <t>Amelia Wilson</t>
        </is>
      </c>
      <c r="E362" s="2" t="inlineStr">
        <is>
          <t>UK</t>
        </is>
      </c>
      <c r="F362" s="2" t="inlineStr">
        <is>
          <t>Cooking Masterclass</t>
        </is>
      </c>
      <c r="G362" s="2" t="inlineStr">
        <is>
          <t>Books</t>
        </is>
      </c>
      <c r="H362" s="2" t="n">
        <v>2</v>
      </c>
      <c r="I362" s="4" t="n">
        <v>30.68</v>
      </c>
      <c r="J362" s="5" t="n">
        <v>0</v>
      </c>
      <c r="K362" s="4">
        <f>H362*I362*(1-J362)</f>
        <v/>
      </c>
      <c r="L362" s="2" t="inlineStr">
        <is>
          <t>Bank Transfer</t>
        </is>
      </c>
    </row>
    <row r="363">
      <c r="A363" s="6" t="inlineStr">
        <is>
          <t>ORD-00362</t>
        </is>
      </c>
      <c r="B363" s="7" t="n">
        <v>45431</v>
      </c>
      <c r="C363" s="6" t="inlineStr">
        <is>
          <t>CUST-0030</t>
        </is>
      </c>
      <c r="D363" s="6" t="inlineStr">
        <is>
          <t>Laura Brown</t>
        </is>
      </c>
      <c r="E363" s="6" t="inlineStr">
        <is>
          <t>USA</t>
        </is>
      </c>
      <c r="F363" s="6" t="inlineStr">
        <is>
          <t>USB-C Hub</t>
        </is>
      </c>
      <c r="G363" s="6" t="inlineStr">
        <is>
          <t>Electronics</t>
        </is>
      </c>
      <c r="H363" s="6" t="n">
        <v>1</v>
      </c>
      <c r="I363" s="8" t="n">
        <v>38.59</v>
      </c>
      <c r="J363" s="9" t="n">
        <v>0.2</v>
      </c>
      <c r="K363" s="8">
        <f>H363*I363*(1-J363)</f>
        <v/>
      </c>
      <c r="L363" s="6" t="inlineStr">
        <is>
          <t>PayPal</t>
        </is>
      </c>
    </row>
    <row r="364">
      <c r="A364" s="2" t="inlineStr">
        <is>
          <t>ORD-00363</t>
        </is>
      </c>
      <c r="B364" s="3" t="n">
        <v>45431</v>
      </c>
      <c r="C364" s="2" t="inlineStr">
        <is>
          <t>CUST-0036</t>
        </is>
      </c>
      <c r="D364" s="2" t="inlineStr">
        <is>
          <t>Elijah Jackson</t>
        </is>
      </c>
      <c r="E364" s="2" t="inlineStr">
        <is>
          <t>France</t>
        </is>
      </c>
      <c r="F364" s="2" t="inlineStr">
        <is>
          <t>Gym Bag</t>
        </is>
      </c>
      <c r="G364" s="2" t="inlineStr">
        <is>
          <t>Sports</t>
        </is>
      </c>
      <c r="H364" s="2" t="n">
        <v>1</v>
      </c>
      <c r="I364" s="4" t="n">
        <v>46.64</v>
      </c>
      <c r="J364" s="5" t="n">
        <v>0.1</v>
      </c>
      <c r="K364" s="4">
        <f>H364*I364*(1-J364)</f>
        <v/>
      </c>
      <c r="L364" s="2" t="inlineStr">
        <is>
          <t>Credit Card</t>
        </is>
      </c>
    </row>
    <row r="365">
      <c r="A365" s="6" t="inlineStr">
        <is>
          <t>ORD-00364</t>
        </is>
      </c>
      <c r="B365" s="7" t="n">
        <v>45434</v>
      </c>
      <c r="C365" s="6" t="inlineStr">
        <is>
          <t>CUST-0141</t>
        </is>
      </c>
      <c r="D365" s="6" t="inlineStr">
        <is>
          <t>William Miller</t>
        </is>
      </c>
      <c r="E365" s="6" t="inlineStr">
        <is>
          <t>UK</t>
        </is>
      </c>
      <c r="F365" s="6" t="inlineStr">
        <is>
          <t>Throw Pillow</t>
        </is>
      </c>
      <c r="G365" s="6" t="inlineStr">
        <is>
          <t>Home &amp; Garden</t>
        </is>
      </c>
      <c r="H365" s="6" t="n">
        <v>3</v>
      </c>
      <c r="I365" s="8" t="n">
        <v>17.27</v>
      </c>
      <c r="J365" s="9" t="n">
        <v>0.15</v>
      </c>
      <c r="K365" s="8">
        <f>H365*I365*(1-J365)</f>
        <v/>
      </c>
      <c r="L365" s="6" t="inlineStr">
        <is>
          <t>Credit Card</t>
        </is>
      </c>
    </row>
    <row r="366">
      <c r="A366" s="2" t="inlineStr">
        <is>
          <t>ORD-00365</t>
        </is>
      </c>
      <c r="B366" s="3" t="n">
        <v>45434</v>
      </c>
      <c r="C366" s="2" t="inlineStr">
        <is>
          <t>CUST-0043</t>
        </is>
      </c>
      <c r="D366" s="2" t="inlineStr">
        <is>
          <t>Daniel Mueller</t>
        </is>
      </c>
      <c r="E366" s="2" t="inlineStr">
        <is>
          <t>Germany</t>
        </is>
      </c>
      <c r="F366" s="2" t="inlineStr">
        <is>
          <t>Smart Watch Band</t>
        </is>
      </c>
      <c r="G366" s="2" t="inlineStr">
        <is>
          <t>Electronics</t>
        </is>
      </c>
      <c r="H366" s="2" t="n">
        <v>1</v>
      </c>
      <c r="I366" s="4" t="n">
        <v>20.04</v>
      </c>
      <c r="J366" s="5" t="n">
        <v>0</v>
      </c>
      <c r="K366" s="4">
        <f>H366*I366*(1-J366)</f>
        <v/>
      </c>
      <c r="L366" s="2" t="inlineStr">
        <is>
          <t>Credit Card</t>
        </is>
      </c>
    </row>
    <row r="367">
      <c r="A367" s="6" t="inlineStr">
        <is>
          <t>ORD-00366</t>
        </is>
      </c>
      <c r="B367" s="7" t="n">
        <v>45435</v>
      </c>
      <c r="C367" s="6" t="inlineStr">
        <is>
          <t>CUST-0074</t>
        </is>
      </c>
      <c r="D367" s="6" t="inlineStr">
        <is>
          <t>Robert Stewart</t>
        </is>
      </c>
      <c r="E367" s="6" t="inlineStr">
        <is>
          <t>USA</t>
        </is>
      </c>
      <c r="F367" s="6" t="inlineStr">
        <is>
          <t>Resistance Bands</t>
        </is>
      </c>
      <c r="G367" s="6" t="inlineStr">
        <is>
          <t>Sports</t>
        </is>
      </c>
      <c r="H367" s="6" t="n">
        <v>1</v>
      </c>
      <c r="I367" s="8" t="n">
        <v>22.13</v>
      </c>
      <c r="J367" s="9" t="n">
        <v>0.1</v>
      </c>
      <c r="K367" s="8">
        <f>H367*I367*(1-J367)</f>
        <v/>
      </c>
      <c r="L367" s="6" t="inlineStr">
        <is>
          <t>PayPal</t>
        </is>
      </c>
    </row>
    <row r="368">
      <c r="A368" s="2" t="inlineStr">
        <is>
          <t>ORD-00367</t>
        </is>
      </c>
      <c r="B368" s="3" t="n">
        <v>45435</v>
      </c>
      <c r="C368" s="2" t="inlineStr">
        <is>
          <t>CUST-0008</t>
        </is>
      </c>
      <c r="D368" s="2" t="inlineStr">
        <is>
          <t>William Fischer</t>
        </is>
      </c>
      <c r="E368" s="2" t="inlineStr">
        <is>
          <t>UK</t>
        </is>
      </c>
      <c r="F368" s="2" t="inlineStr">
        <is>
          <t>Winter Jacket</t>
        </is>
      </c>
      <c r="G368" s="2" t="inlineStr">
        <is>
          <t>Clothing</t>
        </is>
      </c>
      <c r="H368" s="2" t="n">
        <v>1</v>
      </c>
      <c r="I368" s="4" t="n">
        <v>83.81</v>
      </c>
      <c r="J368" s="5" t="n">
        <v>0</v>
      </c>
      <c r="K368" s="4">
        <f>H368*I368*(1-J368)</f>
        <v/>
      </c>
      <c r="L368" s="2" t="inlineStr">
        <is>
          <t>Credit Card</t>
        </is>
      </c>
    </row>
    <row r="369">
      <c r="A369" s="6" t="inlineStr">
        <is>
          <t>ORD-00368</t>
        </is>
      </c>
      <c r="B369" s="7" t="n">
        <v>45437</v>
      </c>
      <c r="C369" s="6" t="inlineStr">
        <is>
          <t>CUST-0115</t>
        </is>
      </c>
      <c r="D369" s="6" t="inlineStr">
        <is>
          <t>Emily White</t>
        </is>
      </c>
      <c r="E369" s="6" t="inlineStr">
        <is>
          <t>Germany</t>
        </is>
      </c>
      <c r="F369" s="6" t="inlineStr">
        <is>
          <t>Winter Jacket</t>
        </is>
      </c>
      <c r="G369" s="6" t="inlineStr">
        <is>
          <t>Clothing</t>
        </is>
      </c>
      <c r="H369" s="6" t="n">
        <v>1</v>
      </c>
      <c r="I369" s="8" t="n">
        <v>129.61</v>
      </c>
      <c r="J369" s="9" t="n">
        <v>0.05</v>
      </c>
      <c r="K369" s="8">
        <f>H369*I369*(1-J369)</f>
        <v/>
      </c>
      <c r="L369" s="6" t="inlineStr">
        <is>
          <t>Credit Card</t>
        </is>
      </c>
    </row>
    <row r="370">
      <c r="A370" s="2" t="inlineStr">
        <is>
          <t>ORD-00369</t>
        </is>
      </c>
      <c r="B370" s="3" t="n">
        <v>45437</v>
      </c>
      <c r="C370" s="2" t="inlineStr">
        <is>
          <t>CUST-0109</t>
        </is>
      </c>
      <c r="D370" s="2" t="inlineStr">
        <is>
          <t>Thomas Jones</t>
        </is>
      </c>
      <c r="E370" s="2" t="inlineStr">
        <is>
          <t>USA</t>
        </is>
      </c>
      <c r="F370" s="2" t="inlineStr">
        <is>
          <t>Wireless Mouse</t>
        </is>
      </c>
      <c r="G370" s="2" t="inlineStr">
        <is>
          <t>Electronics</t>
        </is>
      </c>
      <c r="H370" s="2" t="n">
        <v>2</v>
      </c>
      <c r="I370" s="4" t="n">
        <v>24.12</v>
      </c>
      <c r="J370" s="5" t="n">
        <v>0.05</v>
      </c>
      <c r="K370" s="4">
        <f>H370*I370*(1-J370)</f>
        <v/>
      </c>
      <c r="L370" s="2" t="inlineStr">
        <is>
          <t>PayPal</t>
        </is>
      </c>
    </row>
    <row r="371">
      <c r="A371" s="6" t="inlineStr">
        <is>
          <t>ORD-00370</t>
        </is>
      </c>
      <c r="B371" s="7" t="n">
        <v>45441</v>
      </c>
      <c r="C371" s="6" t="inlineStr">
        <is>
          <t>CUST-0083</t>
        </is>
      </c>
      <c r="D371" s="6" t="inlineStr">
        <is>
          <t>Pierre Wilson</t>
        </is>
      </c>
      <c r="E371" s="6" t="inlineStr">
        <is>
          <t>USA</t>
        </is>
      </c>
      <c r="F371" s="6" t="inlineStr">
        <is>
          <t>Denim Jeans</t>
        </is>
      </c>
      <c r="G371" s="6" t="inlineStr">
        <is>
          <t>Clothing</t>
        </is>
      </c>
      <c r="H371" s="6" t="n">
        <v>2</v>
      </c>
      <c r="I371" s="8" t="n">
        <v>41.03</v>
      </c>
      <c r="J371" s="9" t="n">
        <v>0</v>
      </c>
      <c r="K371" s="8">
        <f>H371*I371*(1-J371)</f>
        <v/>
      </c>
      <c r="L371" s="6" t="inlineStr">
        <is>
          <t>PayPal</t>
        </is>
      </c>
    </row>
    <row r="372">
      <c r="A372" s="2" t="inlineStr">
        <is>
          <t>ORD-00371</t>
        </is>
      </c>
      <c r="B372" s="3" t="n">
        <v>45442</v>
      </c>
      <c r="C372" s="2" t="inlineStr">
        <is>
          <t>CUST-0057</t>
        </is>
      </c>
      <c r="D372" s="2" t="inlineStr">
        <is>
          <t>Sophia Kaya</t>
        </is>
      </c>
      <c r="E372" s="2" t="inlineStr">
        <is>
          <t>Turkey</t>
        </is>
      </c>
      <c r="F372" s="2" t="inlineStr">
        <is>
          <t>Python Programming</t>
        </is>
      </c>
      <c r="G372" s="2" t="inlineStr">
        <is>
          <t>Books</t>
        </is>
      </c>
      <c r="H372" s="2" t="n">
        <v>4</v>
      </c>
      <c r="I372" s="4" t="n">
        <v>44.53</v>
      </c>
      <c r="J372" s="5" t="n">
        <v>0.1</v>
      </c>
      <c r="K372" s="4">
        <f>H372*I372*(1-J372)</f>
        <v/>
      </c>
      <c r="L372" s="2" t="inlineStr">
        <is>
          <t>Credit Card</t>
        </is>
      </c>
    </row>
    <row r="373">
      <c r="A373" s="6" t="inlineStr">
        <is>
          <t>ORD-00372</t>
        </is>
      </c>
      <c r="B373" s="7" t="n">
        <v>45443</v>
      </c>
      <c r="C373" s="6" t="inlineStr">
        <is>
          <t>CUST-0110</t>
        </is>
      </c>
      <c r="D373" s="6" t="inlineStr">
        <is>
          <t>Ingrid Bernard</t>
        </is>
      </c>
      <c r="E373" s="6" t="inlineStr">
        <is>
          <t>Canada</t>
        </is>
      </c>
      <c r="F373" s="6" t="inlineStr">
        <is>
          <t>Jump Rope</t>
        </is>
      </c>
      <c r="G373" s="6" t="inlineStr">
        <is>
          <t>Sports</t>
        </is>
      </c>
      <c r="H373" s="6" t="n">
        <v>1</v>
      </c>
      <c r="I373" s="8" t="n">
        <v>13.34</v>
      </c>
      <c r="J373" s="9" t="n">
        <v>0.15</v>
      </c>
      <c r="K373" s="8">
        <f>H373*I373*(1-J373)</f>
        <v/>
      </c>
      <c r="L373" s="6" t="inlineStr">
        <is>
          <t>Credit Card</t>
        </is>
      </c>
    </row>
    <row r="374">
      <c r="A374" s="2" t="inlineStr">
        <is>
          <t>ORD-00373</t>
        </is>
      </c>
      <c r="B374" s="3" t="n">
        <v>45445</v>
      </c>
      <c r="C374" s="2" t="inlineStr">
        <is>
          <t>CUST-0028</t>
        </is>
      </c>
      <c r="D374" s="2" t="inlineStr">
        <is>
          <t>Harper Chen</t>
        </is>
      </c>
      <c r="E374" s="2" t="inlineStr">
        <is>
          <t>France</t>
        </is>
      </c>
      <c r="F374" s="2" t="inlineStr">
        <is>
          <t>Throw Pillow</t>
        </is>
      </c>
      <c r="G374" s="2" t="inlineStr">
        <is>
          <t>Home &amp; Garden</t>
        </is>
      </c>
      <c r="H374" s="2" t="n">
        <v>4</v>
      </c>
      <c r="I374" s="4" t="n">
        <v>20.88</v>
      </c>
      <c r="J374" s="5" t="n">
        <v>0.15</v>
      </c>
      <c r="K374" s="4">
        <f>H374*I374*(1-J374)</f>
        <v/>
      </c>
      <c r="L374" s="2" t="inlineStr">
        <is>
          <t>Bank Transfer</t>
        </is>
      </c>
    </row>
    <row r="375">
      <c r="A375" s="6" t="inlineStr">
        <is>
          <t>ORD-00374</t>
        </is>
      </c>
      <c r="B375" s="7" t="n">
        <v>45447</v>
      </c>
      <c r="C375" s="6" t="inlineStr">
        <is>
          <t>CUST-0035</t>
        </is>
      </c>
      <c r="D375" s="6" t="inlineStr">
        <is>
          <t>Claire Campbell</t>
        </is>
      </c>
      <c r="E375" s="6" t="inlineStr">
        <is>
          <t>USA</t>
        </is>
      </c>
      <c r="F375" s="6" t="inlineStr">
        <is>
          <t>Business Strategy</t>
        </is>
      </c>
      <c r="G375" s="6" t="inlineStr">
        <is>
          <t>Books</t>
        </is>
      </c>
      <c r="H375" s="6" t="n">
        <v>4</v>
      </c>
      <c r="I375" s="8" t="n">
        <v>35.44</v>
      </c>
      <c r="J375" s="9" t="n">
        <v>0</v>
      </c>
      <c r="K375" s="8">
        <f>H375*I375*(1-J375)</f>
        <v/>
      </c>
      <c r="L375" s="6" t="inlineStr">
        <is>
          <t>PayPal</t>
        </is>
      </c>
    </row>
    <row r="376">
      <c r="A376" s="2" t="inlineStr">
        <is>
          <t>ORD-00375</t>
        </is>
      </c>
      <c r="B376" s="3" t="n">
        <v>45448</v>
      </c>
      <c r="C376" s="2" t="inlineStr">
        <is>
          <t>CUST-0001</t>
        </is>
      </c>
      <c r="D376" s="2" t="inlineStr">
        <is>
          <t>Jean Davis</t>
        </is>
      </c>
      <c r="E376" s="2" t="inlineStr">
        <is>
          <t>USA</t>
        </is>
      </c>
      <c r="F376" s="2" t="inlineStr">
        <is>
          <t>Wireless Headphones</t>
        </is>
      </c>
      <c r="G376" s="2" t="inlineStr">
        <is>
          <t>Electronics</t>
        </is>
      </c>
      <c r="H376" s="2" t="n">
        <v>2</v>
      </c>
      <c r="I376" s="4" t="n">
        <v>69.55</v>
      </c>
      <c r="J376" s="5" t="n">
        <v>0</v>
      </c>
      <c r="K376" s="4">
        <f>H376*I376*(1-J376)</f>
        <v/>
      </c>
      <c r="L376" s="2" t="inlineStr">
        <is>
          <t>Credit Card</t>
        </is>
      </c>
    </row>
    <row r="377">
      <c r="A377" s="6" t="inlineStr">
        <is>
          <t>ORD-00376</t>
        </is>
      </c>
      <c r="B377" s="7" t="n">
        <v>45449</v>
      </c>
      <c r="C377" s="6" t="inlineStr">
        <is>
          <t>CUST-0115</t>
        </is>
      </c>
      <c r="D377" s="6" t="inlineStr">
        <is>
          <t>Emily White</t>
        </is>
      </c>
      <c r="E377" s="6" t="inlineStr">
        <is>
          <t>Germany</t>
        </is>
      </c>
      <c r="F377" s="6" t="inlineStr">
        <is>
          <t>Fitness Tracker</t>
        </is>
      </c>
      <c r="G377" s="6" t="inlineStr">
        <is>
          <t>Sports</t>
        </is>
      </c>
      <c r="H377" s="6" t="n">
        <v>2</v>
      </c>
      <c r="I377" s="8" t="n">
        <v>36.59</v>
      </c>
      <c r="J377" s="9" t="n">
        <v>0.05</v>
      </c>
      <c r="K377" s="8">
        <f>H377*I377*(1-J377)</f>
        <v/>
      </c>
      <c r="L377" s="6" t="inlineStr">
        <is>
          <t>PayPal</t>
        </is>
      </c>
    </row>
    <row r="378">
      <c r="A378" s="2" t="inlineStr">
        <is>
          <t>ORD-00377</t>
        </is>
      </c>
      <c r="B378" s="3" t="n">
        <v>45449</v>
      </c>
      <c r="C378" s="2" t="inlineStr">
        <is>
          <t>CUST-0133</t>
        </is>
      </c>
      <c r="D378" s="2" t="inlineStr">
        <is>
          <t>Charlotte Singh</t>
        </is>
      </c>
      <c r="E378" s="2" t="inlineStr">
        <is>
          <t>USA</t>
        </is>
      </c>
      <c r="F378" s="2" t="inlineStr">
        <is>
          <t>Wall Clock</t>
        </is>
      </c>
      <c r="G378" s="2" t="inlineStr">
        <is>
          <t>Home &amp; Garden</t>
        </is>
      </c>
      <c r="H378" s="2" t="n">
        <v>2</v>
      </c>
      <c r="I378" s="4" t="n">
        <v>37.25</v>
      </c>
      <c r="J378" s="5" t="n">
        <v>0</v>
      </c>
      <c r="K378" s="4">
        <f>H378*I378*(1-J378)</f>
        <v/>
      </c>
      <c r="L378" s="2" t="inlineStr">
        <is>
          <t>PayPal</t>
        </is>
      </c>
    </row>
    <row r="379">
      <c r="A379" s="6" t="inlineStr">
        <is>
          <t>ORD-00378</t>
        </is>
      </c>
      <c r="B379" s="7" t="n">
        <v>45450</v>
      </c>
      <c r="C379" s="6" t="inlineStr">
        <is>
          <t>CUST-0122</t>
        </is>
      </c>
      <c r="D379" s="6" t="inlineStr">
        <is>
          <t>Alexander Ozturk</t>
        </is>
      </c>
      <c r="E379" s="6" t="inlineStr">
        <is>
          <t>Germany</t>
        </is>
      </c>
      <c r="F379" s="6" t="inlineStr">
        <is>
          <t>Gym Bag</t>
        </is>
      </c>
      <c r="G379" s="6" t="inlineStr">
        <is>
          <t>Sports</t>
        </is>
      </c>
      <c r="H379" s="6" t="n">
        <v>1</v>
      </c>
      <c r="I379" s="8" t="n">
        <v>30.08</v>
      </c>
      <c r="J379" s="9" t="n">
        <v>0.05</v>
      </c>
      <c r="K379" s="8">
        <f>H379*I379*(1-J379)</f>
        <v/>
      </c>
      <c r="L379" s="6" t="inlineStr">
        <is>
          <t>PayPal</t>
        </is>
      </c>
    </row>
    <row r="380">
      <c r="A380" s="2" t="inlineStr">
        <is>
          <t>ORD-00379</t>
        </is>
      </c>
      <c r="B380" s="3" t="n">
        <v>45451</v>
      </c>
      <c r="C380" s="2" t="inlineStr">
        <is>
          <t>CUST-0105</t>
        </is>
      </c>
      <c r="D380" s="2" t="inlineStr">
        <is>
          <t>Sebastian Martin</t>
        </is>
      </c>
      <c r="E380" s="2" t="inlineStr">
        <is>
          <t>USA</t>
        </is>
      </c>
      <c r="F380" s="2" t="inlineStr">
        <is>
          <t>Smartphone Case</t>
        </is>
      </c>
      <c r="G380" s="2" t="inlineStr">
        <is>
          <t>Electronics</t>
        </is>
      </c>
      <c r="H380" s="2" t="n">
        <v>1</v>
      </c>
      <c r="I380" s="4" t="n">
        <v>17.07</v>
      </c>
      <c r="J380" s="5" t="n">
        <v>0.05</v>
      </c>
      <c r="K380" s="4">
        <f>H380*I380*(1-J380)</f>
        <v/>
      </c>
      <c r="L380" s="2" t="inlineStr">
        <is>
          <t>Credit Card</t>
        </is>
      </c>
    </row>
    <row r="381">
      <c r="A381" s="6" t="inlineStr">
        <is>
          <t>ORD-00380</t>
        </is>
      </c>
      <c r="B381" s="7" t="n">
        <v>45455</v>
      </c>
      <c r="C381" s="6" t="inlineStr">
        <is>
          <t>CUST-0012</t>
        </is>
      </c>
      <c r="D381" s="6" t="inlineStr">
        <is>
          <t>Thomas Clark</t>
        </is>
      </c>
      <c r="E381" s="6" t="inlineStr">
        <is>
          <t>USA</t>
        </is>
      </c>
      <c r="F381" s="6" t="inlineStr">
        <is>
          <t>Python Programming</t>
        </is>
      </c>
      <c r="G381" s="6" t="inlineStr">
        <is>
          <t>Books</t>
        </is>
      </c>
      <c r="H381" s="6" t="n">
        <v>4</v>
      </c>
      <c r="I381" s="8" t="n">
        <v>47.53</v>
      </c>
      <c r="J381" s="9" t="n">
        <v>0.1</v>
      </c>
      <c r="K381" s="8">
        <f>H381*I381*(1-J381)</f>
        <v/>
      </c>
      <c r="L381" s="6" t="inlineStr">
        <is>
          <t>Credit Card</t>
        </is>
      </c>
    </row>
    <row r="382">
      <c r="A382" s="2" t="inlineStr">
        <is>
          <t>ORD-00381</t>
        </is>
      </c>
      <c r="B382" s="3" t="n">
        <v>45455</v>
      </c>
      <c r="C382" s="2" t="inlineStr">
        <is>
          <t>CUST-0096</t>
        </is>
      </c>
      <c r="D382" s="2" t="inlineStr">
        <is>
          <t>Pierre Brown</t>
        </is>
      </c>
      <c r="E382" s="2" t="inlineStr">
        <is>
          <t>France</t>
        </is>
      </c>
      <c r="F382" s="2" t="inlineStr">
        <is>
          <t>Jump Rope</t>
        </is>
      </c>
      <c r="G382" s="2" t="inlineStr">
        <is>
          <t>Sports</t>
        </is>
      </c>
      <c r="H382" s="2" t="n">
        <v>1</v>
      </c>
      <c r="I382" s="4" t="n">
        <v>17.49</v>
      </c>
      <c r="J382" s="5" t="n">
        <v>0.1</v>
      </c>
      <c r="K382" s="4">
        <f>H382*I382*(1-J382)</f>
        <v/>
      </c>
      <c r="L382" s="2" t="inlineStr">
        <is>
          <t>Credit Card</t>
        </is>
      </c>
    </row>
    <row r="383">
      <c r="A383" s="6" t="inlineStr">
        <is>
          <t>ORD-00382</t>
        </is>
      </c>
      <c r="B383" s="7" t="n">
        <v>45456</v>
      </c>
      <c r="C383" s="6" t="inlineStr">
        <is>
          <t>CUST-0137</t>
        </is>
      </c>
      <c r="D383" s="6" t="inlineStr">
        <is>
          <t>Mia Dupont</t>
        </is>
      </c>
      <c r="E383" s="6" t="inlineStr">
        <is>
          <t>USA</t>
        </is>
      </c>
      <c r="F383" s="6" t="inlineStr">
        <is>
          <t>Fitness Tracker</t>
        </is>
      </c>
      <c r="G383" s="6" t="inlineStr">
        <is>
          <t>Sports</t>
        </is>
      </c>
      <c r="H383" s="6" t="n">
        <v>2</v>
      </c>
      <c r="I383" s="8" t="n">
        <v>44.99</v>
      </c>
      <c r="J383" s="9" t="n">
        <v>0.05</v>
      </c>
      <c r="K383" s="8">
        <f>H383*I383*(1-J383)</f>
        <v/>
      </c>
      <c r="L383" s="6" t="inlineStr">
        <is>
          <t>Credit Card</t>
        </is>
      </c>
    </row>
    <row r="384">
      <c r="A384" s="2" t="inlineStr">
        <is>
          <t>ORD-00383</t>
        </is>
      </c>
      <c r="B384" s="3" t="n">
        <v>45458</v>
      </c>
      <c r="C384" s="2" t="inlineStr">
        <is>
          <t>CUST-0114</t>
        </is>
      </c>
      <c r="D384" s="2" t="inlineStr">
        <is>
          <t>Lucas Wilson</t>
        </is>
      </c>
      <c r="E384" s="2" t="inlineStr">
        <is>
          <t>Turkey</t>
        </is>
      </c>
      <c r="F384" s="2" t="inlineStr">
        <is>
          <t>Wireless Mouse</t>
        </is>
      </c>
      <c r="G384" s="2" t="inlineStr">
        <is>
          <t>Electronics</t>
        </is>
      </c>
      <c r="H384" s="2" t="n">
        <v>5</v>
      </c>
      <c r="I384" s="4" t="n">
        <v>35.42</v>
      </c>
      <c r="J384" s="5" t="n">
        <v>0.05</v>
      </c>
      <c r="K384" s="4">
        <f>H384*I384*(1-J384)</f>
        <v/>
      </c>
      <c r="L384" s="2" t="inlineStr">
        <is>
          <t>Credit Card</t>
        </is>
      </c>
    </row>
    <row r="385">
      <c r="A385" s="6" t="inlineStr">
        <is>
          <t>ORD-00384</t>
        </is>
      </c>
      <c r="B385" s="7" t="n">
        <v>45458</v>
      </c>
      <c r="C385" s="6" t="inlineStr">
        <is>
          <t>CUST-0134</t>
        </is>
      </c>
      <c r="D385" s="6" t="inlineStr">
        <is>
          <t>Oliver Yilmaz</t>
        </is>
      </c>
      <c r="E385" s="6" t="inlineStr">
        <is>
          <t>Turkey</t>
        </is>
      </c>
      <c r="F385" s="6" t="inlineStr">
        <is>
          <t>Jump Rope</t>
        </is>
      </c>
      <c r="G385" s="6" t="inlineStr">
        <is>
          <t>Sports</t>
        </is>
      </c>
      <c r="H385" s="6" t="n">
        <v>2</v>
      </c>
      <c r="I385" s="8" t="n">
        <v>9.130000000000001</v>
      </c>
      <c r="J385" s="9" t="n">
        <v>0</v>
      </c>
      <c r="K385" s="8">
        <f>H385*I385*(1-J385)</f>
        <v/>
      </c>
      <c r="L385" s="6" t="inlineStr">
        <is>
          <t>Credit Card</t>
        </is>
      </c>
    </row>
    <row r="386">
      <c r="A386" s="2" t="inlineStr">
        <is>
          <t>ORD-00385</t>
        </is>
      </c>
      <c r="B386" s="3" t="n">
        <v>45459</v>
      </c>
      <c r="C386" s="2" t="inlineStr">
        <is>
          <t>CUST-0118</t>
        </is>
      </c>
      <c r="D386" s="2" t="inlineStr">
        <is>
          <t>Oliver Rodriguez</t>
        </is>
      </c>
      <c r="E386" s="2" t="inlineStr">
        <is>
          <t>USA</t>
        </is>
      </c>
      <c r="F386" s="2" t="inlineStr">
        <is>
          <t>Python Programming</t>
        </is>
      </c>
      <c r="G386" s="2" t="inlineStr">
        <is>
          <t>Books</t>
        </is>
      </c>
      <c r="H386" s="2" t="n">
        <v>2</v>
      </c>
      <c r="I386" s="4" t="n">
        <v>45.72</v>
      </c>
      <c r="J386" s="5" t="n">
        <v>0.05</v>
      </c>
      <c r="K386" s="4">
        <f>H386*I386*(1-J386)</f>
        <v/>
      </c>
      <c r="L386" s="2" t="inlineStr">
        <is>
          <t>Credit Card</t>
        </is>
      </c>
    </row>
    <row r="387">
      <c r="A387" s="6" t="inlineStr">
        <is>
          <t>ORD-00386</t>
        </is>
      </c>
      <c r="B387" s="7" t="n">
        <v>45461</v>
      </c>
      <c r="C387" s="6" t="inlineStr">
        <is>
          <t>CUST-0070</t>
        </is>
      </c>
      <c r="D387" s="6" t="inlineStr">
        <is>
          <t>Fatma Moore</t>
        </is>
      </c>
      <c r="E387" s="6" t="inlineStr">
        <is>
          <t>USA</t>
        </is>
      </c>
      <c r="F387" s="6" t="inlineStr">
        <is>
          <t>Throw Pillow</t>
        </is>
      </c>
      <c r="G387" s="6" t="inlineStr">
        <is>
          <t>Home &amp; Garden</t>
        </is>
      </c>
      <c r="H387" s="6" t="n">
        <v>2</v>
      </c>
      <c r="I387" s="8" t="n">
        <v>30.48</v>
      </c>
      <c r="J387" s="9" t="n">
        <v>0.15</v>
      </c>
      <c r="K387" s="8">
        <f>H387*I387*(1-J387)</f>
        <v/>
      </c>
      <c r="L387" s="6" t="inlineStr">
        <is>
          <t>PayPal</t>
        </is>
      </c>
    </row>
    <row r="388">
      <c r="A388" s="2" t="inlineStr">
        <is>
          <t>ORD-00387</t>
        </is>
      </c>
      <c r="B388" s="3" t="n">
        <v>45461</v>
      </c>
      <c r="C388" s="2" t="inlineStr">
        <is>
          <t>CUST-0108</t>
        </is>
      </c>
      <c r="D388" s="2" t="inlineStr">
        <is>
          <t>Evelyn Campbell</t>
        </is>
      </c>
      <c r="E388" s="2" t="inlineStr">
        <is>
          <t>UK</t>
        </is>
      </c>
      <c r="F388" s="2" t="inlineStr">
        <is>
          <t>Cotton T-Shirt</t>
        </is>
      </c>
      <c r="G388" s="2" t="inlineStr">
        <is>
          <t>Clothing</t>
        </is>
      </c>
      <c r="H388" s="2" t="n">
        <v>2</v>
      </c>
      <c r="I388" s="4" t="n">
        <v>28.94</v>
      </c>
      <c r="J388" s="5" t="n">
        <v>0.2</v>
      </c>
      <c r="K388" s="4">
        <f>H388*I388*(1-J388)</f>
        <v/>
      </c>
      <c r="L388" s="2" t="inlineStr">
        <is>
          <t>Credit Card</t>
        </is>
      </c>
    </row>
    <row r="389">
      <c r="A389" s="6" t="inlineStr">
        <is>
          <t>ORD-00388</t>
        </is>
      </c>
      <c r="B389" s="7" t="n">
        <v>45463</v>
      </c>
      <c r="C389" s="6" t="inlineStr">
        <is>
          <t>CUST-0021</t>
        </is>
      </c>
      <c r="D389" s="6" t="inlineStr">
        <is>
          <t>Ethan Miller</t>
        </is>
      </c>
      <c r="E389" s="6" t="inlineStr">
        <is>
          <t>UK</t>
        </is>
      </c>
      <c r="F389" s="6" t="inlineStr">
        <is>
          <t>Running Shoes</t>
        </is>
      </c>
      <c r="G389" s="6" t="inlineStr">
        <is>
          <t>Clothing</t>
        </is>
      </c>
      <c r="H389" s="6" t="n">
        <v>1</v>
      </c>
      <c r="I389" s="8" t="n">
        <v>112.2</v>
      </c>
      <c r="J389" s="9" t="n">
        <v>0.1</v>
      </c>
      <c r="K389" s="8">
        <f>H389*I389*(1-J389)</f>
        <v/>
      </c>
      <c r="L389" s="6" t="inlineStr">
        <is>
          <t>Credit Card</t>
        </is>
      </c>
    </row>
    <row r="390">
      <c r="A390" s="2" t="inlineStr">
        <is>
          <t>ORD-00389</t>
        </is>
      </c>
      <c r="B390" s="3" t="n">
        <v>45463</v>
      </c>
      <c r="C390" s="2" t="inlineStr">
        <is>
          <t>CUST-0093</t>
        </is>
      </c>
      <c r="D390" s="2" t="inlineStr">
        <is>
          <t>David Weber</t>
        </is>
      </c>
      <c r="E390" s="2" t="inlineStr">
        <is>
          <t>France</t>
        </is>
      </c>
      <c r="F390" s="2" t="inlineStr">
        <is>
          <t>Wireless Headphones</t>
        </is>
      </c>
      <c r="G390" s="2" t="inlineStr">
        <is>
          <t>Electronics</t>
        </is>
      </c>
      <c r="H390" s="2" t="n">
        <v>2</v>
      </c>
      <c r="I390" s="4" t="n">
        <v>81.23</v>
      </c>
      <c r="J390" s="5" t="n">
        <v>0.1</v>
      </c>
      <c r="K390" s="4">
        <f>H390*I390*(1-J390)</f>
        <v/>
      </c>
      <c r="L390" s="2" t="inlineStr">
        <is>
          <t>Bank Transfer</t>
        </is>
      </c>
    </row>
    <row r="391">
      <c r="A391" s="6" t="inlineStr">
        <is>
          <t>ORD-00390</t>
        </is>
      </c>
      <c r="B391" s="7" t="n">
        <v>45463</v>
      </c>
      <c r="C391" s="6" t="inlineStr">
        <is>
          <t>CUST-0127</t>
        </is>
      </c>
      <c r="D391" s="6" t="inlineStr">
        <is>
          <t>Sophie Lefebvre</t>
        </is>
      </c>
      <c r="E391" s="6" t="inlineStr">
        <is>
          <t>Germany</t>
        </is>
      </c>
      <c r="F391" s="6" t="inlineStr">
        <is>
          <t>Data Science Handbook</t>
        </is>
      </c>
      <c r="G391" s="6" t="inlineStr">
        <is>
          <t>Books</t>
        </is>
      </c>
      <c r="H391" s="6" t="n">
        <v>2</v>
      </c>
      <c r="I391" s="8" t="n">
        <v>56.27</v>
      </c>
      <c r="J391" s="9" t="n">
        <v>0</v>
      </c>
      <c r="K391" s="8">
        <f>H391*I391*(1-J391)</f>
        <v/>
      </c>
      <c r="L391" s="6" t="inlineStr">
        <is>
          <t>Credit Card</t>
        </is>
      </c>
    </row>
    <row r="392">
      <c r="A392" s="2" t="inlineStr">
        <is>
          <t>ORD-00391</t>
        </is>
      </c>
      <c r="B392" s="3" t="n">
        <v>45463</v>
      </c>
      <c r="C392" s="2" t="inlineStr">
        <is>
          <t>CUST-0146</t>
        </is>
      </c>
      <c r="D392" s="2" t="inlineStr">
        <is>
          <t>Noah Lee</t>
        </is>
      </c>
      <c r="E392" s="2" t="inlineStr">
        <is>
          <t>UK</t>
        </is>
      </c>
      <c r="F392" s="2" t="inlineStr">
        <is>
          <t>Bluetooth Speaker</t>
        </is>
      </c>
      <c r="G392" s="2" t="inlineStr">
        <is>
          <t>Electronics</t>
        </is>
      </c>
      <c r="H392" s="2" t="n">
        <v>1</v>
      </c>
      <c r="I392" s="4" t="n">
        <v>82.5</v>
      </c>
      <c r="J392" s="5" t="n">
        <v>0</v>
      </c>
      <c r="K392" s="4">
        <f>H392*I392*(1-J392)</f>
        <v/>
      </c>
      <c r="L392" s="2" t="inlineStr">
        <is>
          <t>Credit Card</t>
        </is>
      </c>
    </row>
    <row r="393">
      <c r="A393" s="6" t="inlineStr">
        <is>
          <t>ORD-00392</t>
        </is>
      </c>
      <c r="B393" s="7" t="n">
        <v>45464</v>
      </c>
      <c r="C393" s="6" t="inlineStr">
        <is>
          <t>CUST-0073</t>
        </is>
      </c>
      <c r="D393" s="6" t="inlineStr">
        <is>
          <t>Noah Ozturk</t>
        </is>
      </c>
      <c r="E393" s="6" t="inlineStr">
        <is>
          <t>USA</t>
        </is>
      </c>
      <c r="F393" s="6" t="inlineStr">
        <is>
          <t>Data Science Handbook</t>
        </is>
      </c>
      <c r="G393" s="6" t="inlineStr">
        <is>
          <t>Books</t>
        </is>
      </c>
      <c r="H393" s="6" t="n">
        <v>1</v>
      </c>
      <c r="I393" s="8" t="n">
        <v>42.4</v>
      </c>
      <c r="J393" s="9" t="n">
        <v>0</v>
      </c>
      <c r="K393" s="8">
        <f>H393*I393*(1-J393)</f>
        <v/>
      </c>
      <c r="L393" s="6" t="inlineStr">
        <is>
          <t>PayPal</t>
        </is>
      </c>
    </row>
    <row r="394">
      <c r="A394" s="2" t="inlineStr">
        <is>
          <t>ORD-00393</t>
        </is>
      </c>
      <c r="B394" s="3" t="n">
        <v>45467</v>
      </c>
      <c r="C394" s="2" t="inlineStr">
        <is>
          <t>CUST-0011</t>
        </is>
      </c>
      <c r="D394" s="2" t="inlineStr">
        <is>
          <t>Luna Lee</t>
        </is>
      </c>
      <c r="E394" s="2" t="inlineStr">
        <is>
          <t>USA</t>
        </is>
      </c>
      <c r="F394" s="2" t="inlineStr">
        <is>
          <t>Smart Watch Band</t>
        </is>
      </c>
      <c r="G394" s="2" t="inlineStr">
        <is>
          <t>Electronics</t>
        </is>
      </c>
      <c r="H394" s="2" t="n">
        <v>4</v>
      </c>
      <c r="I394" s="4" t="n">
        <v>18.95</v>
      </c>
      <c r="J394" s="5" t="n">
        <v>0.1</v>
      </c>
      <c r="K394" s="4">
        <f>H394*I394*(1-J394)</f>
        <v/>
      </c>
      <c r="L394" s="2" t="inlineStr">
        <is>
          <t>Credit Card</t>
        </is>
      </c>
    </row>
    <row r="395">
      <c r="A395" s="6" t="inlineStr">
        <is>
          <t>ORD-00394</t>
        </is>
      </c>
      <c r="B395" s="7" t="n">
        <v>45467</v>
      </c>
      <c r="C395" s="6" t="inlineStr">
        <is>
          <t>CUST-0004</t>
        </is>
      </c>
      <c r="D395" s="6" t="inlineStr">
        <is>
          <t>Pierre Garcia</t>
        </is>
      </c>
      <c r="E395" s="6" t="inlineStr">
        <is>
          <t>Germany</t>
        </is>
      </c>
      <c r="F395" s="6" t="inlineStr">
        <is>
          <t>Business Strategy</t>
        </is>
      </c>
      <c r="G395" s="6" t="inlineStr">
        <is>
          <t>Books</t>
        </is>
      </c>
      <c r="H395" s="6" t="n">
        <v>4</v>
      </c>
      <c r="I395" s="8" t="n">
        <v>22.63</v>
      </c>
      <c r="J395" s="9" t="n">
        <v>0.05</v>
      </c>
      <c r="K395" s="8">
        <f>H395*I395*(1-J395)</f>
        <v/>
      </c>
      <c r="L395" s="6" t="inlineStr">
        <is>
          <t>Credit Card</t>
        </is>
      </c>
    </row>
    <row r="396">
      <c r="A396" s="2" t="inlineStr">
        <is>
          <t>ORD-00395</t>
        </is>
      </c>
      <c r="B396" s="3" t="n">
        <v>45473</v>
      </c>
      <c r="C396" s="2" t="inlineStr">
        <is>
          <t>CUST-0052</t>
        </is>
      </c>
      <c r="D396" s="2" t="inlineStr">
        <is>
          <t>Oliver Chen</t>
        </is>
      </c>
      <c r="E396" s="2" t="inlineStr">
        <is>
          <t>USA</t>
        </is>
      </c>
      <c r="F396" s="2" t="inlineStr">
        <is>
          <t>Yoga Mat</t>
        </is>
      </c>
      <c r="G396" s="2" t="inlineStr">
        <is>
          <t>Sports</t>
        </is>
      </c>
      <c r="H396" s="2" t="n">
        <v>3</v>
      </c>
      <c r="I396" s="4" t="n">
        <v>46.75</v>
      </c>
      <c r="J396" s="5" t="n">
        <v>0.05</v>
      </c>
      <c r="K396" s="4">
        <f>H396*I396*(1-J396)</f>
        <v/>
      </c>
      <c r="L396" s="2" t="inlineStr">
        <is>
          <t>Credit Card</t>
        </is>
      </c>
    </row>
    <row r="397">
      <c r="A397" s="6" t="inlineStr">
        <is>
          <t>ORD-00396</t>
        </is>
      </c>
      <c r="B397" s="7" t="n">
        <v>45475</v>
      </c>
      <c r="C397" s="6" t="inlineStr">
        <is>
          <t>CUST-0089</t>
        </is>
      </c>
      <c r="D397" s="6" t="inlineStr">
        <is>
          <t>Ayse Fraser</t>
        </is>
      </c>
      <c r="E397" s="6" t="inlineStr">
        <is>
          <t>USA</t>
        </is>
      </c>
      <c r="F397" s="6" t="inlineStr">
        <is>
          <t>Business Strategy</t>
        </is>
      </c>
      <c r="G397" s="6" t="inlineStr">
        <is>
          <t>Books</t>
        </is>
      </c>
      <c r="H397" s="6" t="n">
        <v>2</v>
      </c>
      <c r="I397" s="8" t="n">
        <v>27.65</v>
      </c>
      <c r="J397" s="9" t="n">
        <v>0.1</v>
      </c>
      <c r="K397" s="8">
        <f>H397*I397*(1-J397)</f>
        <v/>
      </c>
      <c r="L397" s="6" t="inlineStr">
        <is>
          <t>Credit Card</t>
        </is>
      </c>
    </row>
    <row r="398">
      <c r="A398" s="2" t="inlineStr">
        <is>
          <t>ORD-00397</t>
        </is>
      </c>
      <c r="B398" s="3" t="n">
        <v>45477</v>
      </c>
      <c r="C398" s="2" t="inlineStr">
        <is>
          <t>CUST-0148</t>
        </is>
      </c>
      <c r="D398" s="2" t="inlineStr">
        <is>
          <t>Pierre Clark</t>
        </is>
      </c>
      <c r="E398" s="2" t="inlineStr">
        <is>
          <t>Canada</t>
        </is>
      </c>
      <c r="F398" s="2" t="inlineStr">
        <is>
          <t>Winter Jacket</t>
        </is>
      </c>
      <c r="G398" s="2" t="inlineStr">
        <is>
          <t>Clothing</t>
        </is>
      </c>
      <c r="H398" s="2" t="n">
        <v>2</v>
      </c>
      <c r="I398" s="4" t="n">
        <v>147.27</v>
      </c>
      <c r="J398" s="5" t="n">
        <v>0.1</v>
      </c>
      <c r="K398" s="4">
        <f>H398*I398*(1-J398)</f>
        <v/>
      </c>
      <c r="L398" s="2" t="inlineStr">
        <is>
          <t>PayPal</t>
        </is>
      </c>
    </row>
    <row r="399">
      <c r="A399" s="6" t="inlineStr">
        <is>
          <t>ORD-00398</t>
        </is>
      </c>
      <c r="B399" s="7" t="n">
        <v>45479</v>
      </c>
      <c r="C399" s="6" t="inlineStr">
        <is>
          <t>CUST-0135</t>
        </is>
      </c>
      <c r="D399" s="6" t="inlineStr">
        <is>
          <t>Michael Roy</t>
        </is>
      </c>
      <c r="E399" s="6" t="inlineStr">
        <is>
          <t>France</t>
        </is>
      </c>
      <c r="F399" s="6" t="inlineStr">
        <is>
          <t>Wireless Mouse</t>
        </is>
      </c>
      <c r="G399" s="6" t="inlineStr">
        <is>
          <t>Electronics</t>
        </is>
      </c>
      <c r="H399" s="6" t="n">
        <v>2</v>
      </c>
      <c r="I399" s="8" t="n">
        <v>36.9</v>
      </c>
      <c r="J399" s="9" t="n">
        <v>0.05</v>
      </c>
      <c r="K399" s="8">
        <f>H399*I399*(1-J399)</f>
        <v/>
      </c>
      <c r="L399" s="6" t="inlineStr">
        <is>
          <t>Credit Card</t>
        </is>
      </c>
    </row>
    <row r="400">
      <c r="A400" s="2" t="inlineStr">
        <is>
          <t>ORD-00399</t>
        </is>
      </c>
      <c r="B400" s="3" t="n">
        <v>45479</v>
      </c>
      <c r="C400" s="2" t="inlineStr">
        <is>
          <t>CUST-0121</t>
        </is>
      </c>
      <c r="D400" s="2" t="inlineStr">
        <is>
          <t>Luna Thomas</t>
        </is>
      </c>
      <c r="E400" s="2" t="inlineStr">
        <is>
          <t>France</t>
        </is>
      </c>
      <c r="F400" s="2" t="inlineStr">
        <is>
          <t>Resistance Bands</t>
        </is>
      </c>
      <c r="G400" s="2" t="inlineStr">
        <is>
          <t>Sports</t>
        </is>
      </c>
      <c r="H400" s="2" t="n">
        <v>1</v>
      </c>
      <c r="I400" s="4" t="n">
        <v>17.31</v>
      </c>
      <c r="J400" s="5" t="n">
        <v>0.1</v>
      </c>
      <c r="K400" s="4">
        <f>H400*I400*(1-J400)</f>
        <v/>
      </c>
      <c r="L400" s="2" t="inlineStr">
        <is>
          <t>PayPal</t>
        </is>
      </c>
    </row>
    <row r="401">
      <c r="A401" s="6" t="inlineStr">
        <is>
          <t>ORD-00400</t>
        </is>
      </c>
      <c r="B401" s="7" t="n">
        <v>45479</v>
      </c>
      <c r="C401" s="6" t="inlineStr">
        <is>
          <t>CUST-0046</t>
        </is>
      </c>
      <c r="D401" s="6" t="inlineStr">
        <is>
          <t>Sophia Singh</t>
        </is>
      </c>
      <c r="E401" s="6" t="inlineStr">
        <is>
          <t>Turkey</t>
        </is>
      </c>
      <c r="F401" s="6" t="inlineStr">
        <is>
          <t>LED Desk Lamp</t>
        </is>
      </c>
      <c r="G401" s="6" t="inlineStr">
        <is>
          <t>Home &amp; Garden</t>
        </is>
      </c>
      <c r="H401" s="6" t="n">
        <v>2</v>
      </c>
      <c r="I401" s="8" t="n">
        <v>47.08</v>
      </c>
      <c r="J401" s="9" t="n">
        <v>0.05</v>
      </c>
      <c r="K401" s="8">
        <f>H401*I401*(1-J401)</f>
        <v/>
      </c>
      <c r="L401" s="6" t="inlineStr">
        <is>
          <t>Credit Card</t>
        </is>
      </c>
    </row>
    <row r="402">
      <c r="A402" s="2" t="inlineStr">
        <is>
          <t>ORD-00401</t>
        </is>
      </c>
      <c r="B402" s="3" t="n">
        <v>45480</v>
      </c>
      <c r="C402" s="2" t="inlineStr">
        <is>
          <t>CUST-0108</t>
        </is>
      </c>
      <c r="D402" s="2" t="inlineStr">
        <is>
          <t>Evelyn Campbell</t>
        </is>
      </c>
      <c r="E402" s="2" t="inlineStr">
        <is>
          <t>UK</t>
        </is>
      </c>
      <c r="F402" s="2" t="inlineStr">
        <is>
          <t>Wall Clock</t>
        </is>
      </c>
      <c r="G402" s="2" t="inlineStr">
        <is>
          <t>Home &amp; Garden</t>
        </is>
      </c>
      <c r="H402" s="2" t="n">
        <v>2</v>
      </c>
      <c r="I402" s="4" t="n">
        <v>24.63</v>
      </c>
      <c r="J402" s="5" t="n">
        <v>0</v>
      </c>
      <c r="K402" s="4">
        <f>H402*I402*(1-J402)</f>
        <v/>
      </c>
      <c r="L402" s="2" t="inlineStr">
        <is>
          <t>Credit Card</t>
        </is>
      </c>
    </row>
    <row r="403">
      <c r="A403" s="6" t="inlineStr">
        <is>
          <t>ORD-00402</t>
        </is>
      </c>
      <c r="B403" s="7" t="n">
        <v>45480</v>
      </c>
      <c r="C403" s="6" t="inlineStr">
        <is>
          <t>CUST-0085</t>
        </is>
      </c>
      <c r="D403" s="6" t="inlineStr">
        <is>
          <t>Noah Wilson</t>
        </is>
      </c>
      <c r="E403" s="6" t="inlineStr">
        <is>
          <t>Turkey</t>
        </is>
      </c>
      <c r="F403" s="6" t="inlineStr">
        <is>
          <t>Leather Belt</t>
        </is>
      </c>
      <c r="G403" s="6" t="inlineStr">
        <is>
          <t>Clothing</t>
        </is>
      </c>
      <c r="H403" s="6" t="n">
        <v>5</v>
      </c>
      <c r="I403" s="8" t="n">
        <v>29.19</v>
      </c>
      <c r="J403" s="9" t="n">
        <v>0.1</v>
      </c>
      <c r="K403" s="8">
        <f>H403*I403*(1-J403)</f>
        <v/>
      </c>
      <c r="L403" s="6" t="inlineStr">
        <is>
          <t>Credit Card</t>
        </is>
      </c>
    </row>
    <row r="404">
      <c r="A404" s="2" t="inlineStr">
        <is>
          <t>ORD-00403</t>
        </is>
      </c>
      <c r="B404" s="3" t="n">
        <v>45482</v>
      </c>
      <c r="C404" s="2" t="inlineStr">
        <is>
          <t>CUST-0016</t>
        </is>
      </c>
      <c r="D404" s="2" t="inlineStr">
        <is>
          <t>Daniel Garcia</t>
        </is>
      </c>
      <c r="E404" s="2" t="inlineStr">
        <is>
          <t>Germany</t>
        </is>
      </c>
      <c r="F404" s="2" t="inlineStr">
        <is>
          <t>Scented Candle</t>
        </is>
      </c>
      <c r="G404" s="2" t="inlineStr">
        <is>
          <t>Home &amp; Garden</t>
        </is>
      </c>
      <c r="H404" s="2" t="n">
        <v>2</v>
      </c>
      <c r="I404" s="4" t="n">
        <v>24.17</v>
      </c>
      <c r="J404" s="5" t="n">
        <v>0.1</v>
      </c>
      <c r="K404" s="4">
        <f>H404*I404*(1-J404)</f>
        <v/>
      </c>
      <c r="L404" s="2" t="inlineStr">
        <is>
          <t>Credit Card</t>
        </is>
      </c>
    </row>
    <row r="405">
      <c r="A405" s="6" t="inlineStr">
        <is>
          <t>ORD-00404</t>
        </is>
      </c>
      <c r="B405" s="7" t="n">
        <v>45483</v>
      </c>
      <c r="C405" s="6" t="inlineStr">
        <is>
          <t>CUST-0145</t>
        </is>
      </c>
      <c r="D405" s="6" t="inlineStr">
        <is>
          <t>Mason Schmidt</t>
        </is>
      </c>
      <c r="E405" s="6" t="inlineStr">
        <is>
          <t>UK</t>
        </is>
      </c>
      <c r="F405" s="6" t="inlineStr">
        <is>
          <t>Resistance Bands</t>
        </is>
      </c>
      <c r="G405" s="6" t="inlineStr">
        <is>
          <t>Sports</t>
        </is>
      </c>
      <c r="H405" s="6" t="n">
        <v>1</v>
      </c>
      <c r="I405" s="8" t="n">
        <v>28.57</v>
      </c>
      <c r="J405" s="9" t="n">
        <v>0.2</v>
      </c>
      <c r="K405" s="8">
        <f>H405*I405*(1-J405)</f>
        <v/>
      </c>
      <c r="L405" s="6" t="inlineStr">
        <is>
          <t>PayPal</t>
        </is>
      </c>
    </row>
    <row r="406">
      <c r="A406" s="2" t="inlineStr">
        <is>
          <t>ORD-00405</t>
        </is>
      </c>
      <c r="B406" s="3" t="n">
        <v>45483</v>
      </c>
      <c r="C406" s="2" t="inlineStr">
        <is>
          <t>CUST-0005</t>
        </is>
      </c>
      <c r="D406" s="2" t="inlineStr">
        <is>
          <t>Liam Johnson</t>
        </is>
      </c>
      <c r="E406" s="2" t="inlineStr">
        <is>
          <t>USA</t>
        </is>
      </c>
      <c r="F406" s="2" t="inlineStr">
        <is>
          <t>Travel Photography</t>
        </is>
      </c>
      <c r="G406" s="2" t="inlineStr">
        <is>
          <t>Books</t>
        </is>
      </c>
      <c r="H406" s="2" t="n">
        <v>2</v>
      </c>
      <c r="I406" s="4" t="n">
        <v>27.17</v>
      </c>
      <c r="J406" s="5" t="n">
        <v>0.05</v>
      </c>
      <c r="K406" s="4">
        <f>H406*I406*(1-J406)</f>
        <v/>
      </c>
      <c r="L406" s="2" t="inlineStr">
        <is>
          <t>Bank Transfer</t>
        </is>
      </c>
    </row>
    <row r="407">
      <c r="A407" s="6" t="inlineStr">
        <is>
          <t>ORD-00406</t>
        </is>
      </c>
      <c r="B407" s="7" t="n">
        <v>45487</v>
      </c>
      <c r="C407" s="6" t="inlineStr">
        <is>
          <t>CUST-0148</t>
        </is>
      </c>
      <c r="D407" s="6" t="inlineStr">
        <is>
          <t>Pierre Clark</t>
        </is>
      </c>
      <c r="E407" s="6" t="inlineStr">
        <is>
          <t>Canada</t>
        </is>
      </c>
      <c r="F407" s="6" t="inlineStr">
        <is>
          <t>Smart Watch Band</t>
        </is>
      </c>
      <c r="G407" s="6" t="inlineStr">
        <is>
          <t>Electronics</t>
        </is>
      </c>
      <c r="H407" s="6" t="n">
        <v>4</v>
      </c>
      <c r="I407" s="8" t="n">
        <v>30.33</v>
      </c>
      <c r="J407" s="9" t="n">
        <v>0.1</v>
      </c>
      <c r="K407" s="8">
        <f>H407*I407*(1-J407)</f>
        <v/>
      </c>
      <c r="L407" s="6" t="inlineStr">
        <is>
          <t>Credit Card</t>
        </is>
      </c>
    </row>
    <row r="408">
      <c r="A408" s="2" t="inlineStr">
        <is>
          <t>ORD-00407</t>
        </is>
      </c>
      <c r="B408" s="3" t="n">
        <v>45488</v>
      </c>
      <c r="C408" s="2" t="inlineStr">
        <is>
          <t>CUST-0084</t>
        </is>
      </c>
      <c r="D408" s="2" t="inlineStr">
        <is>
          <t>Mia Lee</t>
        </is>
      </c>
      <c r="E408" s="2" t="inlineStr">
        <is>
          <t>UK</t>
        </is>
      </c>
      <c r="F408" s="2" t="inlineStr">
        <is>
          <t>Wool Scarf</t>
        </is>
      </c>
      <c r="G408" s="2" t="inlineStr">
        <is>
          <t>Clothing</t>
        </is>
      </c>
      <c r="H408" s="2" t="n">
        <v>2</v>
      </c>
      <c r="I408" s="4" t="n">
        <v>33.25</v>
      </c>
      <c r="J408" s="5" t="n">
        <v>0.1</v>
      </c>
      <c r="K408" s="4">
        <f>H408*I408*(1-J408)</f>
        <v/>
      </c>
      <c r="L408" s="2" t="inlineStr">
        <is>
          <t>Credit Card</t>
        </is>
      </c>
    </row>
    <row r="409">
      <c r="A409" s="6" t="inlineStr">
        <is>
          <t>ORD-00408</t>
        </is>
      </c>
      <c r="B409" s="7" t="n">
        <v>45489</v>
      </c>
      <c r="C409" s="6" t="inlineStr">
        <is>
          <t>CUST-0001</t>
        </is>
      </c>
      <c r="D409" s="6" t="inlineStr">
        <is>
          <t>Jean Davis</t>
        </is>
      </c>
      <c r="E409" s="6" t="inlineStr">
        <is>
          <t>USA</t>
        </is>
      </c>
      <c r="F409" s="6" t="inlineStr">
        <is>
          <t>Jump Rope</t>
        </is>
      </c>
      <c r="G409" s="6" t="inlineStr">
        <is>
          <t>Sports</t>
        </is>
      </c>
      <c r="H409" s="6" t="n">
        <v>2</v>
      </c>
      <c r="I409" s="8" t="n">
        <v>19.55</v>
      </c>
      <c r="J409" s="9" t="n">
        <v>0.15</v>
      </c>
      <c r="K409" s="8">
        <f>H409*I409*(1-J409)</f>
        <v/>
      </c>
      <c r="L409" s="6" t="inlineStr">
        <is>
          <t>PayPal</t>
        </is>
      </c>
    </row>
    <row r="410">
      <c r="A410" s="2" t="inlineStr">
        <is>
          <t>ORD-00409</t>
        </is>
      </c>
      <c r="B410" s="3" t="n">
        <v>45490</v>
      </c>
      <c r="C410" s="2" t="inlineStr">
        <is>
          <t>CUST-0139</t>
        </is>
      </c>
      <c r="D410" s="2" t="inlineStr">
        <is>
          <t>Michael Kim</t>
        </is>
      </c>
      <c r="E410" s="2" t="inlineStr">
        <is>
          <t>Turkey</t>
        </is>
      </c>
      <c r="F410" s="2" t="inlineStr">
        <is>
          <t>Running Shoes</t>
        </is>
      </c>
      <c r="G410" s="2" t="inlineStr">
        <is>
          <t>Clothing</t>
        </is>
      </c>
      <c r="H410" s="2" t="n">
        <v>3</v>
      </c>
      <c r="I410" s="4" t="n">
        <v>119.59</v>
      </c>
      <c r="J410" s="5" t="n">
        <v>0.2</v>
      </c>
      <c r="K410" s="4">
        <f>H410*I410*(1-J410)</f>
        <v/>
      </c>
      <c r="L410" s="2" t="inlineStr">
        <is>
          <t>PayPal</t>
        </is>
      </c>
    </row>
    <row r="411">
      <c r="A411" s="6" t="inlineStr">
        <is>
          <t>ORD-00410</t>
        </is>
      </c>
      <c r="B411" s="7" t="n">
        <v>45490</v>
      </c>
      <c r="C411" s="6" t="inlineStr">
        <is>
          <t>CUST-0097</t>
        </is>
      </c>
      <c r="D411" s="6" t="inlineStr">
        <is>
          <t>Olivia Brown</t>
        </is>
      </c>
      <c r="E411" s="6" t="inlineStr">
        <is>
          <t>Germany</t>
        </is>
      </c>
      <c r="F411" s="6" t="inlineStr">
        <is>
          <t>Denim Jeans</t>
        </is>
      </c>
      <c r="G411" s="6" t="inlineStr">
        <is>
          <t>Clothing</t>
        </is>
      </c>
      <c r="H411" s="6" t="n">
        <v>2</v>
      </c>
      <c r="I411" s="8" t="n">
        <v>43.14</v>
      </c>
      <c r="J411" s="9" t="n">
        <v>0.05</v>
      </c>
      <c r="K411" s="8">
        <f>H411*I411*(1-J411)</f>
        <v/>
      </c>
      <c r="L411" s="6" t="inlineStr">
        <is>
          <t>Credit Card</t>
        </is>
      </c>
    </row>
    <row r="412">
      <c r="A412" s="2" t="inlineStr">
        <is>
          <t>ORD-00411</t>
        </is>
      </c>
      <c r="B412" s="3" t="n">
        <v>45491</v>
      </c>
      <c r="C412" s="2" t="inlineStr">
        <is>
          <t>CUST-0071</t>
        </is>
      </c>
      <c r="D412" s="2" t="inlineStr">
        <is>
          <t>Emily Chen</t>
        </is>
      </c>
      <c r="E412" s="2" t="inlineStr">
        <is>
          <t>USA</t>
        </is>
      </c>
      <c r="F412" s="2" t="inlineStr">
        <is>
          <t>Laptop Stand</t>
        </is>
      </c>
      <c r="G412" s="2" t="inlineStr">
        <is>
          <t>Electronics</t>
        </is>
      </c>
      <c r="H412" s="2" t="n">
        <v>1</v>
      </c>
      <c r="I412" s="4" t="n">
        <v>38.42</v>
      </c>
      <c r="J412" s="5" t="n">
        <v>0.1</v>
      </c>
      <c r="K412" s="4">
        <f>H412*I412*(1-J412)</f>
        <v/>
      </c>
      <c r="L412" s="2" t="inlineStr">
        <is>
          <t>PayPal</t>
        </is>
      </c>
    </row>
    <row r="413">
      <c r="A413" s="6" t="inlineStr">
        <is>
          <t>ORD-00412</t>
        </is>
      </c>
      <c r="B413" s="7" t="n">
        <v>45493</v>
      </c>
      <c r="C413" s="6" t="inlineStr">
        <is>
          <t>CUST-0056</t>
        </is>
      </c>
      <c r="D413" s="6" t="inlineStr">
        <is>
          <t>Klaus Harris</t>
        </is>
      </c>
      <c r="E413" s="6" t="inlineStr">
        <is>
          <t>Germany</t>
        </is>
      </c>
      <c r="F413" s="6" t="inlineStr">
        <is>
          <t>Laptop Stand</t>
        </is>
      </c>
      <c r="G413" s="6" t="inlineStr">
        <is>
          <t>Electronics</t>
        </is>
      </c>
      <c r="H413" s="6" t="n">
        <v>4</v>
      </c>
      <c r="I413" s="8" t="n">
        <v>40.59</v>
      </c>
      <c r="J413" s="9" t="n">
        <v>0</v>
      </c>
      <c r="K413" s="8">
        <f>H413*I413*(1-J413)</f>
        <v/>
      </c>
      <c r="L413" s="6" t="inlineStr">
        <is>
          <t>PayPal</t>
        </is>
      </c>
    </row>
    <row r="414">
      <c r="A414" s="2" t="inlineStr">
        <is>
          <t>ORD-00413</t>
        </is>
      </c>
      <c r="B414" s="3" t="n">
        <v>45496</v>
      </c>
      <c r="C414" s="2" t="inlineStr">
        <is>
          <t>CUST-0095</t>
        </is>
      </c>
      <c r="D414" s="2" t="inlineStr">
        <is>
          <t>Charlotte Brown</t>
        </is>
      </c>
      <c r="E414" s="2" t="inlineStr">
        <is>
          <t>Germany</t>
        </is>
      </c>
      <c r="F414" s="2" t="inlineStr">
        <is>
          <t>Laptop Stand</t>
        </is>
      </c>
      <c r="G414" s="2" t="inlineStr">
        <is>
          <t>Electronics</t>
        </is>
      </c>
      <c r="H414" s="2" t="n">
        <v>3</v>
      </c>
      <c r="I414" s="4" t="n">
        <v>37.21</v>
      </c>
      <c r="J414" s="5" t="n">
        <v>0.15</v>
      </c>
      <c r="K414" s="4">
        <f>H414*I414*(1-J414)</f>
        <v/>
      </c>
      <c r="L414" s="2" t="inlineStr">
        <is>
          <t>Bank Transfer</t>
        </is>
      </c>
    </row>
    <row r="415">
      <c r="A415" s="6" t="inlineStr">
        <is>
          <t>ORD-00414</t>
        </is>
      </c>
      <c r="B415" s="7" t="n">
        <v>45503</v>
      </c>
      <c r="C415" s="6" t="inlineStr">
        <is>
          <t>CUST-0077</t>
        </is>
      </c>
      <c r="D415" s="6" t="inlineStr">
        <is>
          <t>Mason Miller</t>
        </is>
      </c>
      <c r="E415" s="6" t="inlineStr">
        <is>
          <t>USA</t>
        </is>
      </c>
      <c r="F415" s="6" t="inlineStr">
        <is>
          <t>Scented Candle</t>
        </is>
      </c>
      <c r="G415" s="6" t="inlineStr">
        <is>
          <t>Home &amp; Garden</t>
        </is>
      </c>
      <c r="H415" s="6" t="n">
        <v>2</v>
      </c>
      <c r="I415" s="8" t="n">
        <v>15.52</v>
      </c>
      <c r="J415" s="9" t="n">
        <v>0.25</v>
      </c>
      <c r="K415" s="8">
        <f>H415*I415*(1-J415)</f>
        <v/>
      </c>
      <c r="L415" s="6" t="inlineStr">
        <is>
          <t>PayPal</t>
        </is>
      </c>
    </row>
    <row r="416">
      <c r="A416" s="2" t="inlineStr">
        <is>
          <t>ORD-00415</t>
        </is>
      </c>
      <c r="B416" s="3" t="n">
        <v>45507</v>
      </c>
      <c r="C416" s="2" t="inlineStr">
        <is>
          <t>CUST-0043</t>
        </is>
      </c>
      <c r="D416" s="2" t="inlineStr">
        <is>
          <t>Daniel Mueller</t>
        </is>
      </c>
      <c r="E416" s="2" t="inlineStr">
        <is>
          <t>Germany</t>
        </is>
      </c>
      <c r="F416" s="2" t="inlineStr">
        <is>
          <t>Running Shoes</t>
        </is>
      </c>
      <c r="G416" s="2" t="inlineStr">
        <is>
          <t>Clothing</t>
        </is>
      </c>
      <c r="H416" s="2" t="n">
        <v>4</v>
      </c>
      <c r="I416" s="4" t="n">
        <v>114.12</v>
      </c>
      <c r="J416" s="5" t="n">
        <v>0.1</v>
      </c>
      <c r="K416" s="4">
        <f>H416*I416*(1-J416)</f>
        <v/>
      </c>
      <c r="L416" s="2" t="inlineStr">
        <is>
          <t>Credit Card</t>
        </is>
      </c>
    </row>
    <row r="417">
      <c r="A417" s="6" t="inlineStr">
        <is>
          <t>ORD-00416</t>
        </is>
      </c>
      <c r="B417" s="7" t="n">
        <v>45507</v>
      </c>
      <c r="C417" s="6" t="inlineStr">
        <is>
          <t>CUST-0014</t>
        </is>
      </c>
      <c r="D417" s="6" t="inlineStr">
        <is>
          <t>Jack Tremblay</t>
        </is>
      </c>
      <c r="E417" s="6" t="inlineStr">
        <is>
          <t>USA</t>
        </is>
      </c>
      <c r="F417" s="6" t="inlineStr">
        <is>
          <t>Cooking Masterclass</t>
        </is>
      </c>
      <c r="G417" s="6" t="inlineStr">
        <is>
          <t>Books</t>
        </is>
      </c>
      <c r="H417" s="6" t="n">
        <v>2</v>
      </c>
      <c r="I417" s="8" t="n">
        <v>34.22</v>
      </c>
      <c r="J417" s="9" t="n">
        <v>0</v>
      </c>
      <c r="K417" s="8">
        <f>H417*I417*(1-J417)</f>
        <v/>
      </c>
      <c r="L417" s="6" t="inlineStr">
        <is>
          <t>Credit Card</t>
        </is>
      </c>
    </row>
    <row r="418">
      <c r="A418" s="2" t="inlineStr">
        <is>
          <t>ORD-00417</t>
        </is>
      </c>
      <c r="B418" s="3" t="n">
        <v>45508</v>
      </c>
      <c r="C418" s="2" t="inlineStr">
        <is>
          <t>CUST-0145</t>
        </is>
      </c>
      <c r="D418" s="2" t="inlineStr">
        <is>
          <t>Mason Schmidt</t>
        </is>
      </c>
      <c r="E418" s="2" t="inlineStr">
        <is>
          <t>UK</t>
        </is>
      </c>
      <c r="F418" s="2" t="inlineStr">
        <is>
          <t>Bluetooth Speaker</t>
        </is>
      </c>
      <c r="G418" s="2" t="inlineStr">
        <is>
          <t>Electronics</t>
        </is>
      </c>
      <c r="H418" s="2" t="n">
        <v>3</v>
      </c>
      <c r="I418" s="4" t="n">
        <v>80.19</v>
      </c>
      <c r="J418" s="5" t="n">
        <v>0.25</v>
      </c>
      <c r="K418" s="4">
        <f>H418*I418*(1-J418)</f>
        <v/>
      </c>
      <c r="L418" s="2" t="inlineStr">
        <is>
          <t>Credit Card</t>
        </is>
      </c>
    </row>
    <row r="419">
      <c r="A419" s="6" t="inlineStr">
        <is>
          <t>ORD-00418</t>
        </is>
      </c>
      <c r="B419" s="7" t="n">
        <v>45511</v>
      </c>
      <c r="C419" s="6" t="inlineStr">
        <is>
          <t>CUST-0107</t>
        </is>
      </c>
      <c r="D419" s="6" t="inlineStr">
        <is>
          <t>Aria Rodriguez</t>
        </is>
      </c>
      <c r="E419" s="6" t="inlineStr">
        <is>
          <t>France</t>
        </is>
      </c>
      <c r="F419" s="6" t="inlineStr">
        <is>
          <t>Jump Rope</t>
        </is>
      </c>
      <c r="G419" s="6" t="inlineStr">
        <is>
          <t>Sports</t>
        </is>
      </c>
      <c r="H419" s="6" t="n">
        <v>3</v>
      </c>
      <c r="I419" s="8" t="n">
        <v>11.42</v>
      </c>
      <c r="J419" s="9" t="n">
        <v>0.15</v>
      </c>
      <c r="K419" s="8">
        <f>H419*I419*(1-J419)</f>
        <v/>
      </c>
      <c r="L419" s="6" t="inlineStr">
        <is>
          <t>Credit Card</t>
        </is>
      </c>
    </row>
    <row r="420">
      <c r="A420" s="2" t="inlineStr">
        <is>
          <t>ORD-00419</t>
        </is>
      </c>
      <c r="B420" s="3" t="n">
        <v>45513</v>
      </c>
      <c r="C420" s="2" t="inlineStr">
        <is>
          <t>CUST-0095</t>
        </is>
      </c>
      <c r="D420" s="2" t="inlineStr">
        <is>
          <t>Charlotte Brown</t>
        </is>
      </c>
      <c r="E420" s="2" t="inlineStr">
        <is>
          <t>Germany</t>
        </is>
      </c>
      <c r="F420" s="2" t="inlineStr">
        <is>
          <t>Wool Scarf</t>
        </is>
      </c>
      <c r="G420" s="2" t="inlineStr">
        <is>
          <t>Clothing</t>
        </is>
      </c>
      <c r="H420" s="2" t="n">
        <v>4</v>
      </c>
      <c r="I420" s="4" t="n">
        <v>23.23</v>
      </c>
      <c r="J420" s="5" t="n">
        <v>0</v>
      </c>
      <c r="K420" s="4">
        <f>H420*I420*(1-J420)</f>
        <v/>
      </c>
      <c r="L420" s="2" t="inlineStr">
        <is>
          <t>Credit Card</t>
        </is>
      </c>
    </row>
    <row r="421">
      <c r="A421" s="6" t="inlineStr">
        <is>
          <t>ORD-00420</t>
        </is>
      </c>
      <c r="B421" s="7" t="n">
        <v>45514</v>
      </c>
      <c r="C421" s="6" t="inlineStr">
        <is>
          <t>CUST-0060</t>
        </is>
      </c>
      <c r="D421" s="6" t="inlineStr">
        <is>
          <t>Ayse Jones</t>
        </is>
      </c>
      <c r="E421" s="6" t="inlineStr">
        <is>
          <t>Canada</t>
        </is>
      </c>
      <c r="F421" s="6" t="inlineStr">
        <is>
          <t>Wall Clock</t>
        </is>
      </c>
      <c r="G421" s="6" t="inlineStr">
        <is>
          <t>Home &amp; Garden</t>
        </is>
      </c>
      <c r="H421" s="6" t="n">
        <v>1</v>
      </c>
      <c r="I421" s="8" t="n">
        <v>45.5</v>
      </c>
      <c r="J421" s="9" t="n">
        <v>0.2</v>
      </c>
      <c r="K421" s="8">
        <f>H421*I421*(1-J421)</f>
        <v/>
      </c>
      <c r="L421" s="6" t="inlineStr">
        <is>
          <t>Credit Card</t>
        </is>
      </c>
    </row>
    <row r="422">
      <c r="A422" s="2" t="inlineStr">
        <is>
          <t>ORD-00421</t>
        </is>
      </c>
      <c r="B422" s="3" t="n">
        <v>45514</v>
      </c>
      <c r="C422" s="2" t="inlineStr">
        <is>
          <t>CUST-0069</t>
        </is>
      </c>
      <c r="D422" s="2" t="inlineStr">
        <is>
          <t>Emma Moreau</t>
        </is>
      </c>
      <c r="E422" s="2" t="inlineStr">
        <is>
          <t>Germany</t>
        </is>
      </c>
      <c r="F422" s="2" t="inlineStr">
        <is>
          <t>Bluetooth Speaker</t>
        </is>
      </c>
      <c r="G422" s="2" t="inlineStr">
        <is>
          <t>Electronics</t>
        </is>
      </c>
      <c r="H422" s="2" t="n">
        <v>1</v>
      </c>
      <c r="I422" s="4" t="n">
        <v>59.93</v>
      </c>
      <c r="J422" s="5" t="n">
        <v>0.1</v>
      </c>
      <c r="K422" s="4">
        <f>H422*I422*(1-J422)</f>
        <v/>
      </c>
      <c r="L422" s="2" t="inlineStr">
        <is>
          <t>Bank Transfer</t>
        </is>
      </c>
    </row>
    <row r="423">
      <c r="A423" s="6" t="inlineStr">
        <is>
          <t>ORD-00422</t>
        </is>
      </c>
      <c r="B423" s="7" t="n">
        <v>45515</v>
      </c>
      <c r="C423" s="6" t="inlineStr">
        <is>
          <t>CUST-0071</t>
        </is>
      </c>
      <c r="D423" s="6" t="inlineStr">
        <is>
          <t>Emily Chen</t>
        </is>
      </c>
      <c r="E423" s="6" t="inlineStr">
        <is>
          <t>USA</t>
        </is>
      </c>
      <c r="F423" s="6" t="inlineStr">
        <is>
          <t>Throw Pillow</t>
        </is>
      </c>
      <c r="G423" s="6" t="inlineStr">
        <is>
          <t>Home &amp; Garden</t>
        </is>
      </c>
      <c r="H423" s="6" t="n">
        <v>1</v>
      </c>
      <c r="I423" s="8" t="n">
        <v>20.6</v>
      </c>
      <c r="J423" s="9" t="n">
        <v>0.05</v>
      </c>
      <c r="K423" s="8">
        <f>H423*I423*(1-J423)</f>
        <v/>
      </c>
      <c r="L423" s="6" t="inlineStr">
        <is>
          <t>Credit Card</t>
        </is>
      </c>
    </row>
    <row r="424">
      <c r="A424" s="2" t="inlineStr">
        <is>
          <t>ORD-00423</t>
        </is>
      </c>
      <c r="B424" s="3" t="n">
        <v>45516</v>
      </c>
      <c r="C424" s="2" t="inlineStr">
        <is>
          <t>CUST-0059</t>
        </is>
      </c>
      <c r="D424" s="2" t="inlineStr">
        <is>
          <t>Ahmed Garcia</t>
        </is>
      </c>
      <c r="E424" s="2" t="inlineStr">
        <is>
          <t>USA</t>
        </is>
      </c>
      <c r="F424" s="2" t="inlineStr">
        <is>
          <t>Gym Bag</t>
        </is>
      </c>
      <c r="G424" s="2" t="inlineStr">
        <is>
          <t>Sports</t>
        </is>
      </c>
      <c r="H424" s="2" t="n">
        <v>1</v>
      </c>
      <c r="I424" s="4" t="n">
        <v>33.09</v>
      </c>
      <c r="J424" s="5" t="n">
        <v>0.05</v>
      </c>
      <c r="K424" s="4">
        <f>H424*I424*(1-J424)</f>
        <v/>
      </c>
      <c r="L424" s="2" t="inlineStr">
        <is>
          <t>Credit Card</t>
        </is>
      </c>
    </row>
    <row r="425">
      <c r="A425" s="6" t="inlineStr">
        <is>
          <t>ORD-00424</t>
        </is>
      </c>
      <c r="B425" s="7" t="n">
        <v>45518</v>
      </c>
      <c r="C425" s="6" t="inlineStr">
        <is>
          <t>CUST-0058</t>
        </is>
      </c>
      <c r="D425" s="6" t="inlineStr">
        <is>
          <t>Evelyn Jackson</t>
        </is>
      </c>
      <c r="E425" s="6" t="inlineStr">
        <is>
          <t>USA</t>
        </is>
      </c>
      <c r="F425" s="6" t="inlineStr">
        <is>
          <t>Smartphone Case</t>
        </is>
      </c>
      <c r="G425" s="6" t="inlineStr">
        <is>
          <t>Electronics</t>
        </is>
      </c>
      <c r="H425" s="6" t="n">
        <v>1</v>
      </c>
      <c r="I425" s="8" t="n">
        <v>25.97</v>
      </c>
      <c r="J425" s="9" t="n">
        <v>0</v>
      </c>
      <c r="K425" s="8">
        <f>H425*I425*(1-J425)</f>
        <v/>
      </c>
      <c r="L425" s="6" t="inlineStr">
        <is>
          <t>Credit Card</t>
        </is>
      </c>
    </row>
    <row r="426">
      <c r="A426" s="2" t="inlineStr">
        <is>
          <t>ORD-00425</t>
        </is>
      </c>
      <c r="B426" s="3" t="n">
        <v>45519</v>
      </c>
      <c r="C426" s="2" t="inlineStr">
        <is>
          <t>CUST-0007</t>
        </is>
      </c>
      <c r="D426" s="2" t="inlineStr">
        <is>
          <t>Sophie Taylor</t>
        </is>
      </c>
      <c r="E426" s="2" t="inlineStr">
        <is>
          <t>France</t>
        </is>
      </c>
      <c r="F426" s="2" t="inlineStr">
        <is>
          <t>Cooking Masterclass</t>
        </is>
      </c>
      <c r="G426" s="2" t="inlineStr">
        <is>
          <t>Books</t>
        </is>
      </c>
      <c r="H426" s="2" t="n">
        <v>5</v>
      </c>
      <c r="I426" s="4" t="n">
        <v>38.54</v>
      </c>
      <c r="J426" s="5" t="n">
        <v>0</v>
      </c>
      <c r="K426" s="4">
        <f>H426*I426*(1-J426)</f>
        <v/>
      </c>
      <c r="L426" s="2" t="inlineStr">
        <is>
          <t>PayPal</t>
        </is>
      </c>
    </row>
    <row r="427">
      <c r="A427" s="6" t="inlineStr">
        <is>
          <t>ORD-00426</t>
        </is>
      </c>
      <c r="B427" s="7" t="n">
        <v>45521</v>
      </c>
      <c r="C427" s="6" t="inlineStr">
        <is>
          <t>CUST-0040</t>
        </is>
      </c>
      <c r="D427" s="6" t="inlineStr">
        <is>
          <t>Ava Brown</t>
        </is>
      </c>
      <c r="E427" s="6" t="inlineStr">
        <is>
          <t>Turkey</t>
        </is>
      </c>
      <c r="F427" s="6" t="inlineStr">
        <is>
          <t>Wireless Mouse</t>
        </is>
      </c>
      <c r="G427" s="6" t="inlineStr">
        <is>
          <t>Electronics</t>
        </is>
      </c>
      <c r="H427" s="6" t="n">
        <v>2</v>
      </c>
      <c r="I427" s="8" t="n">
        <v>36.05</v>
      </c>
      <c r="J427" s="9" t="n">
        <v>0.15</v>
      </c>
      <c r="K427" s="8">
        <f>H427*I427*(1-J427)</f>
        <v/>
      </c>
      <c r="L427" s="6" t="inlineStr">
        <is>
          <t>Credit Card</t>
        </is>
      </c>
    </row>
    <row r="428">
      <c r="A428" s="2" t="inlineStr">
        <is>
          <t>ORD-00427</t>
        </is>
      </c>
      <c r="B428" s="3" t="n">
        <v>45521</v>
      </c>
      <c r="C428" s="2" t="inlineStr">
        <is>
          <t>CUST-0019</t>
        </is>
      </c>
      <c r="D428" s="2" t="inlineStr">
        <is>
          <t>Noah Williams</t>
        </is>
      </c>
      <c r="E428" s="2" t="inlineStr">
        <is>
          <t>France</t>
        </is>
      </c>
      <c r="F428" s="2" t="inlineStr">
        <is>
          <t>Plant Pot Set</t>
        </is>
      </c>
      <c r="G428" s="2" t="inlineStr">
        <is>
          <t>Home &amp; Garden</t>
        </is>
      </c>
      <c r="H428" s="2" t="n">
        <v>4</v>
      </c>
      <c r="I428" s="4" t="n">
        <v>27.5</v>
      </c>
      <c r="J428" s="5" t="n">
        <v>0</v>
      </c>
      <c r="K428" s="4">
        <f>H428*I428*(1-J428)</f>
        <v/>
      </c>
      <c r="L428" s="2" t="inlineStr">
        <is>
          <t>Credit Card</t>
        </is>
      </c>
    </row>
    <row r="429">
      <c r="A429" s="6" t="inlineStr">
        <is>
          <t>ORD-00428</t>
        </is>
      </c>
      <c r="B429" s="7" t="n">
        <v>45522</v>
      </c>
      <c r="C429" s="6" t="inlineStr">
        <is>
          <t>CUST-0001</t>
        </is>
      </c>
      <c r="D429" s="6" t="inlineStr">
        <is>
          <t>Jean Davis</t>
        </is>
      </c>
      <c r="E429" s="6" t="inlineStr">
        <is>
          <t>USA</t>
        </is>
      </c>
      <c r="F429" s="6" t="inlineStr">
        <is>
          <t>Travel Photography</t>
        </is>
      </c>
      <c r="G429" s="6" t="inlineStr">
        <is>
          <t>Books</t>
        </is>
      </c>
      <c r="H429" s="6" t="n">
        <v>5</v>
      </c>
      <c r="I429" s="8" t="n">
        <v>21.85</v>
      </c>
      <c r="J429" s="9" t="n">
        <v>0.1</v>
      </c>
      <c r="K429" s="8">
        <f>H429*I429*(1-J429)</f>
        <v/>
      </c>
      <c r="L429" s="6" t="inlineStr">
        <is>
          <t>PayPal</t>
        </is>
      </c>
    </row>
    <row r="430">
      <c r="A430" s="2" t="inlineStr">
        <is>
          <t>ORD-00429</t>
        </is>
      </c>
      <c r="B430" s="3" t="n">
        <v>45522</v>
      </c>
      <c r="C430" s="2" t="inlineStr">
        <is>
          <t>CUST-0149</t>
        </is>
      </c>
      <c r="D430" s="2" t="inlineStr">
        <is>
          <t>Sophia Martin</t>
        </is>
      </c>
      <c r="E430" s="2" t="inlineStr">
        <is>
          <t>USA</t>
        </is>
      </c>
      <c r="F430" s="2" t="inlineStr">
        <is>
          <t>Wool Scarf</t>
        </is>
      </c>
      <c r="G430" s="2" t="inlineStr">
        <is>
          <t>Clothing</t>
        </is>
      </c>
      <c r="H430" s="2" t="n">
        <v>1</v>
      </c>
      <c r="I430" s="4" t="n">
        <v>25.31</v>
      </c>
      <c r="J430" s="5" t="n">
        <v>0</v>
      </c>
      <c r="K430" s="4">
        <f>H430*I430*(1-J430)</f>
        <v/>
      </c>
      <c r="L430" s="2" t="inlineStr">
        <is>
          <t>Bank Transfer</t>
        </is>
      </c>
    </row>
    <row r="431">
      <c r="A431" s="6" t="inlineStr">
        <is>
          <t>ORD-00430</t>
        </is>
      </c>
      <c r="B431" s="7" t="n">
        <v>45525</v>
      </c>
      <c r="C431" s="6" t="inlineStr">
        <is>
          <t>CUST-0006</t>
        </is>
      </c>
      <c r="D431" s="6" t="inlineStr">
        <is>
          <t>Ethan Ozturk</t>
        </is>
      </c>
      <c r="E431" s="6" t="inlineStr">
        <is>
          <t>Germany</t>
        </is>
      </c>
      <c r="F431" s="6" t="inlineStr">
        <is>
          <t>Cooking Masterclass</t>
        </is>
      </c>
      <c r="G431" s="6" t="inlineStr">
        <is>
          <t>Books</t>
        </is>
      </c>
      <c r="H431" s="6" t="n">
        <v>1</v>
      </c>
      <c r="I431" s="8" t="n">
        <v>32.6</v>
      </c>
      <c r="J431" s="9" t="n">
        <v>0</v>
      </c>
      <c r="K431" s="8">
        <f>H431*I431*(1-J431)</f>
        <v/>
      </c>
      <c r="L431" s="6" t="inlineStr">
        <is>
          <t>PayPal</t>
        </is>
      </c>
    </row>
    <row r="432">
      <c r="A432" s="2" t="inlineStr">
        <is>
          <t>ORD-00431</t>
        </is>
      </c>
      <c r="B432" s="3" t="n">
        <v>45526</v>
      </c>
      <c r="C432" s="2" t="inlineStr">
        <is>
          <t>CUST-0112</t>
        </is>
      </c>
      <c r="D432" s="2" t="inlineStr">
        <is>
          <t>Alexander Rodriguez</t>
        </is>
      </c>
      <c r="E432" s="2" t="inlineStr">
        <is>
          <t>Canada</t>
        </is>
      </c>
      <c r="F432" s="2" t="inlineStr">
        <is>
          <t>LED Desk Lamp</t>
        </is>
      </c>
      <c r="G432" s="2" t="inlineStr">
        <is>
          <t>Home &amp; Garden</t>
        </is>
      </c>
      <c r="H432" s="2" t="n">
        <v>2</v>
      </c>
      <c r="I432" s="4" t="n">
        <v>58.91</v>
      </c>
      <c r="J432" s="5" t="n">
        <v>0.05</v>
      </c>
      <c r="K432" s="4">
        <f>H432*I432*(1-J432)</f>
        <v/>
      </c>
      <c r="L432" s="2" t="inlineStr">
        <is>
          <t>Credit Card</t>
        </is>
      </c>
    </row>
    <row r="433">
      <c r="A433" s="6" t="inlineStr">
        <is>
          <t>ORD-00432</t>
        </is>
      </c>
      <c r="B433" s="7" t="n">
        <v>45526</v>
      </c>
      <c r="C433" s="6" t="inlineStr">
        <is>
          <t>CUST-0012</t>
        </is>
      </c>
      <c r="D433" s="6" t="inlineStr">
        <is>
          <t>Thomas Clark</t>
        </is>
      </c>
      <c r="E433" s="6" t="inlineStr">
        <is>
          <t>USA</t>
        </is>
      </c>
      <c r="F433" s="6" t="inlineStr">
        <is>
          <t>Yoga Mat</t>
        </is>
      </c>
      <c r="G433" s="6" t="inlineStr">
        <is>
          <t>Sports</t>
        </is>
      </c>
      <c r="H433" s="6" t="n">
        <v>2</v>
      </c>
      <c r="I433" s="8" t="n">
        <v>30.72</v>
      </c>
      <c r="J433" s="9" t="n">
        <v>0</v>
      </c>
      <c r="K433" s="8">
        <f>H433*I433*(1-J433)</f>
        <v/>
      </c>
      <c r="L433" s="6" t="inlineStr">
        <is>
          <t>PayPal</t>
        </is>
      </c>
    </row>
    <row r="434">
      <c r="A434" s="2" t="inlineStr">
        <is>
          <t>ORD-00433</t>
        </is>
      </c>
      <c r="B434" s="3" t="n">
        <v>45529</v>
      </c>
      <c r="C434" s="2" t="inlineStr">
        <is>
          <t>CUST-0129</t>
        </is>
      </c>
      <c r="D434" s="2" t="inlineStr">
        <is>
          <t>William Martinez</t>
        </is>
      </c>
      <c r="E434" s="2" t="inlineStr">
        <is>
          <t>Germany</t>
        </is>
      </c>
      <c r="F434" s="2" t="inlineStr">
        <is>
          <t>Wireless Headphones</t>
        </is>
      </c>
      <c r="G434" s="2" t="inlineStr">
        <is>
          <t>Electronics</t>
        </is>
      </c>
      <c r="H434" s="2" t="n">
        <v>1</v>
      </c>
      <c r="I434" s="4" t="n">
        <v>88.61</v>
      </c>
      <c r="J434" s="5" t="n">
        <v>0.2</v>
      </c>
      <c r="K434" s="4">
        <f>H434*I434*(1-J434)</f>
        <v/>
      </c>
      <c r="L434" s="2" t="inlineStr">
        <is>
          <t>Credit Card</t>
        </is>
      </c>
    </row>
    <row r="435">
      <c r="A435" s="6" t="inlineStr">
        <is>
          <t>ORD-00434</t>
        </is>
      </c>
      <c r="B435" s="7" t="n">
        <v>45529</v>
      </c>
      <c r="C435" s="6" t="inlineStr">
        <is>
          <t>CUST-0090</t>
        </is>
      </c>
      <c r="D435" s="6" t="inlineStr">
        <is>
          <t>Aria Brown</t>
        </is>
      </c>
      <c r="E435" s="6" t="inlineStr">
        <is>
          <t>USA</t>
        </is>
      </c>
      <c r="F435" s="6" t="inlineStr">
        <is>
          <t>Cooking Masterclass</t>
        </is>
      </c>
      <c r="G435" s="6" t="inlineStr">
        <is>
          <t>Books</t>
        </is>
      </c>
      <c r="H435" s="6" t="n">
        <v>1</v>
      </c>
      <c r="I435" s="8" t="n">
        <v>37.65</v>
      </c>
      <c r="J435" s="9" t="n">
        <v>0</v>
      </c>
      <c r="K435" s="8">
        <f>H435*I435*(1-J435)</f>
        <v/>
      </c>
      <c r="L435" s="6" t="inlineStr">
        <is>
          <t>Credit Card</t>
        </is>
      </c>
    </row>
    <row r="436">
      <c r="A436" s="2" t="inlineStr">
        <is>
          <t>ORD-00435</t>
        </is>
      </c>
      <c r="B436" s="3" t="n">
        <v>45531</v>
      </c>
      <c r="C436" s="2" t="inlineStr">
        <is>
          <t>CUST-0085</t>
        </is>
      </c>
      <c r="D436" s="2" t="inlineStr">
        <is>
          <t>Noah Wilson</t>
        </is>
      </c>
      <c r="E436" s="2" t="inlineStr">
        <is>
          <t>Turkey</t>
        </is>
      </c>
      <c r="F436" s="2" t="inlineStr">
        <is>
          <t>Self-Help Guide</t>
        </is>
      </c>
      <c r="G436" s="2" t="inlineStr">
        <is>
          <t>Books</t>
        </is>
      </c>
      <c r="H436" s="2" t="n">
        <v>4</v>
      </c>
      <c r="I436" s="4" t="n">
        <v>14.19</v>
      </c>
      <c r="J436" s="5" t="n">
        <v>0</v>
      </c>
      <c r="K436" s="4">
        <f>H436*I436*(1-J436)</f>
        <v/>
      </c>
      <c r="L436" s="2" t="inlineStr">
        <is>
          <t>Credit Card</t>
        </is>
      </c>
    </row>
    <row r="437">
      <c r="A437" s="6" t="inlineStr">
        <is>
          <t>ORD-00436</t>
        </is>
      </c>
      <c r="B437" s="7" t="n">
        <v>45532</v>
      </c>
      <c r="C437" s="6" t="inlineStr">
        <is>
          <t>CUST-0045</t>
        </is>
      </c>
      <c r="D437" s="6" t="inlineStr">
        <is>
          <t>Sophie Smith</t>
        </is>
      </c>
      <c r="E437" s="6" t="inlineStr">
        <is>
          <t>France</t>
        </is>
      </c>
      <c r="F437" s="6" t="inlineStr">
        <is>
          <t>LED Desk Lamp</t>
        </is>
      </c>
      <c r="G437" s="6" t="inlineStr">
        <is>
          <t>Home &amp; Garden</t>
        </is>
      </c>
      <c r="H437" s="6" t="n">
        <v>1</v>
      </c>
      <c r="I437" s="8" t="n">
        <v>44.44</v>
      </c>
      <c r="J437" s="9" t="n">
        <v>0</v>
      </c>
      <c r="K437" s="8">
        <f>H437*I437*(1-J437)</f>
        <v/>
      </c>
      <c r="L437" s="6" t="inlineStr">
        <is>
          <t>PayPal</t>
        </is>
      </c>
    </row>
    <row r="438">
      <c r="A438" s="2" t="inlineStr">
        <is>
          <t>ORD-00437</t>
        </is>
      </c>
      <c r="B438" s="3" t="n">
        <v>45533</v>
      </c>
      <c r="C438" s="2" t="inlineStr">
        <is>
          <t>CUST-0082</t>
        </is>
      </c>
      <c r="D438" s="2" t="inlineStr">
        <is>
          <t>Oliver Jackson</t>
        </is>
      </c>
      <c r="E438" s="2" t="inlineStr">
        <is>
          <t>USA</t>
        </is>
      </c>
      <c r="F438" s="2" t="inlineStr">
        <is>
          <t>Gym Bag</t>
        </is>
      </c>
      <c r="G438" s="2" t="inlineStr">
        <is>
          <t>Sports</t>
        </is>
      </c>
      <c r="H438" s="2" t="n">
        <v>2</v>
      </c>
      <c r="I438" s="4" t="n">
        <v>35.75</v>
      </c>
      <c r="J438" s="5" t="n">
        <v>0.1</v>
      </c>
      <c r="K438" s="4">
        <f>H438*I438*(1-J438)</f>
        <v/>
      </c>
      <c r="L438" s="2" t="inlineStr">
        <is>
          <t>Credit Card</t>
        </is>
      </c>
    </row>
    <row r="439">
      <c r="A439" s="6" t="inlineStr">
        <is>
          <t>ORD-00438</t>
        </is>
      </c>
      <c r="B439" s="7" t="n">
        <v>45535</v>
      </c>
      <c r="C439" s="6" t="inlineStr">
        <is>
          <t>CUST-0035</t>
        </is>
      </c>
      <c r="D439" s="6" t="inlineStr">
        <is>
          <t>Claire Campbell</t>
        </is>
      </c>
      <c r="E439" s="6" t="inlineStr">
        <is>
          <t>USA</t>
        </is>
      </c>
      <c r="F439" s="6" t="inlineStr">
        <is>
          <t>Wool Scarf</t>
        </is>
      </c>
      <c r="G439" s="6" t="inlineStr">
        <is>
          <t>Clothing</t>
        </is>
      </c>
      <c r="H439" s="6" t="n">
        <v>1</v>
      </c>
      <c r="I439" s="8" t="n">
        <v>43.67</v>
      </c>
      <c r="J439" s="9" t="n">
        <v>0</v>
      </c>
      <c r="K439" s="8">
        <f>H439*I439*(1-J439)</f>
        <v/>
      </c>
      <c r="L439" s="6" t="inlineStr">
        <is>
          <t>Bank Transfer</t>
        </is>
      </c>
    </row>
    <row r="440">
      <c r="A440" s="2" t="inlineStr">
        <is>
          <t>ORD-00439</t>
        </is>
      </c>
      <c r="B440" s="3" t="n">
        <v>45537</v>
      </c>
      <c r="C440" s="2" t="inlineStr">
        <is>
          <t>CUST-0001</t>
        </is>
      </c>
      <c r="D440" s="2" t="inlineStr">
        <is>
          <t>Jean Davis</t>
        </is>
      </c>
      <c r="E440" s="2" t="inlineStr">
        <is>
          <t>USA</t>
        </is>
      </c>
      <c r="F440" s="2" t="inlineStr">
        <is>
          <t>Denim Jeans</t>
        </is>
      </c>
      <c r="G440" s="2" t="inlineStr">
        <is>
          <t>Clothing</t>
        </is>
      </c>
      <c r="H440" s="2" t="n">
        <v>2</v>
      </c>
      <c r="I440" s="4" t="n">
        <v>79.48999999999999</v>
      </c>
      <c r="J440" s="5" t="n">
        <v>0.15</v>
      </c>
      <c r="K440" s="4">
        <f>H440*I440*(1-J440)</f>
        <v/>
      </c>
      <c r="L440" s="2" t="inlineStr">
        <is>
          <t>Credit Card</t>
        </is>
      </c>
    </row>
    <row r="441">
      <c r="A441" s="6" t="inlineStr">
        <is>
          <t>ORD-00440</t>
        </is>
      </c>
      <c r="B441" s="7" t="n">
        <v>45537</v>
      </c>
      <c r="C441" s="6" t="inlineStr">
        <is>
          <t>CUST-0101</t>
        </is>
      </c>
      <c r="D441" s="6" t="inlineStr">
        <is>
          <t>Amelia Schmidt</t>
        </is>
      </c>
      <c r="E441" s="6" t="inlineStr">
        <is>
          <t>USA</t>
        </is>
      </c>
      <c r="F441" s="6" t="inlineStr">
        <is>
          <t>Scented Candle</t>
        </is>
      </c>
      <c r="G441" s="6" t="inlineStr">
        <is>
          <t>Home &amp; Garden</t>
        </is>
      </c>
      <c r="H441" s="6" t="n">
        <v>3</v>
      </c>
      <c r="I441" s="8" t="n">
        <v>14.56</v>
      </c>
      <c r="J441" s="9" t="n">
        <v>0.2</v>
      </c>
      <c r="K441" s="8">
        <f>H441*I441*(1-J441)</f>
        <v/>
      </c>
      <c r="L441" s="6" t="inlineStr">
        <is>
          <t>Credit Card</t>
        </is>
      </c>
    </row>
    <row r="442">
      <c r="A442" s="2" t="inlineStr">
        <is>
          <t>ORD-00441</t>
        </is>
      </c>
      <c r="B442" s="3" t="n">
        <v>45540</v>
      </c>
      <c r="C442" s="2" t="inlineStr">
        <is>
          <t>CUST-0015</t>
        </is>
      </c>
      <c r="D442" s="2" t="inlineStr">
        <is>
          <t>Liam Campbell</t>
        </is>
      </c>
      <c r="E442" s="2" t="inlineStr">
        <is>
          <t>Germany</t>
        </is>
      </c>
      <c r="F442" s="2" t="inlineStr">
        <is>
          <t>Laptop Stand</t>
        </is>
      </c>
      <c r="G442" s="2" t="inlineStr">
        <is>
          <t>Electronics</t>
        </is>
      </c>
      <c r="H442" s="2" t="n">
        <v>3</v>
      </c>
      <c r="I442" s="4" t="n">
        <v>48.35</v>
      </c>
      <c r="J442" s="5" t="n">
        <v>0.1</v>
      </c>
      <c r="K442" s="4">
        <f>H442*I442*(1-J442)</f>
        <v/>
      </c>
      <c r="L442" s="2" t="inlineStr">
        <is>
          <t>Credit Card</t>
        </is>
      </c>
    </row>
    <row r="443">
      <c r="A443" s="6" t="inlineStr">
        <is>
          <t>ORD-00442</t>
        </is>
      </c>
      <c r="B443" s="7" t="n">
        <v>45540</v>
      </c>
      <c r="C443" s="6" t="inlineStr">
        <is>
          <t>CUST-0145</t>
        </is>
      </c>
      <c r="D443" s="6" t="inlineStr">
        <is>
          <t>Mason Schmidt</t>
        </is>
      </c>
      <c r="E443" s="6" t="inlineStr">
        <is>
          <t>UK</t>
        </is>
      </c>
      <c r="F443" s="6" t="inlineStr">
        <is>
          <t>Wall Clock</t>
        </is>
      </c>
      <c r="G443" s="6" t="inlineStr">
        <is>
          <t>Home &amp; Garden</t>
        </is>
      </c>
      <c r="H443" s="6" t="n">
        <v>3</v>
      </c>
      <c r="I443" s="8" t="n">
        <v>41.83</v>
      </c>
      <c r="J443" s="9" t="n">
        <v>0.2</v>
      </c>
      <c r="K443" s="8">
        <f>H443*I443*(1-J443)</f>
        <v/>
      </c>
      <c r="L443" s="6" t="inlineStr">
        <is>
          <t>Credit Card</t>
        </is>
      </c>
    </row>
    <row r="444">
      <c r="A444" s="2" t="inlineStr">
        <is>
          <t>ORD-00443</t>
        </is>
      </c>
      <c r="B444" s="3" t="n">
        <v>45540</v>
      </c>
      <c r="C444" s="2" t="inlineStr">
        <is>
          <t>CUST-0131</t>
        </is>
      </c>
      <c r="D444" s="2" t="inlineStr">
        <is>
          <t>Scarlett Rodriguez</t>
        </is>
      </c>
      <c r="E444" s="2" t="inlineStr">
        <is>
          <t>USA</t>
        </is>
      </c>
      <c r="F444" s="2" t="inlineStr">
        <is>
          <t>Plant Pot Set</t>
        </is>
      </c>
      <c r="G444" s="2" t="inlineStr">
        <is>
          <t>Home &amp; Garden</t>
        </is>
      </c>
      <c r="H444" s="2" t="n">
        <v>2</v>
      </c>
      <c r="I444" s="4" t="n">
        <v>30.37</v>
      </c>
      <c r="J444" s="5" t="n">
        <v>0</v>
      </c>
      <c r="K444" s="4">
        <f>H444*I444*(1-J444)</f>
        <v/>
      </c>
      <c r="L444" s="2" t="inlineStr">
        <is>
          <t>PayPal</t>
        </is>
      </c>
    </row>
    <row r="445">
      <c r="A445" s="6" t="inlineStr">
        <is>
          <t>ORD-00444</t>
        </is>
      </c>
      <c r="B445" s="7" t="n">
        <v>45543</v>
      </c>
      <c r="C445" s="6" t="inlineStr">
        <is>
          <t>CUST-0031</t>
        </is>
      </c>
      <c r="D445" s="6" t="inlineStr">
        <is>
          <t>Liam Harris</t>
        </is>
      </c>
      <c r="E445" s="6" t="inlineStr">
        <is>
          <t>UK</t>
        </is>
      </c>
      <c r="F445" s="6" t="inlineStr">
        <is>
          <t>Fitness Tracker</t>
        </is>
      </c>
      <c r="G445" s="6" t="inlineStr">
        <is>
          <t>Sports</t>
        </is>
      </c>
      <c r="H445" s="6" t="n">
        <v>3</v>
      </c>
      <c r="I445" s="8" t="n">
        <v>70.55</v>
      </c>
      <c r="J445" s="9" t="n">
        <v>0.05</v>
      </c>
      <c r="K445" s="8">
        <f>H445*I445*(1-J445)</f>
        <v/>
      </c>
      <c r="L445" s="6" t="inlineStr">
        <is>
          <t>Credit Card</t>
        </is>
      </c>
    </row>
    <row r="446">
      <c r="A446" s="2" t="inlineStr">
        <is>
          <t>ORD-00445</t>
        </is>
      </c>
      <c r="B446" s="3" t="n">
        <v>45547</v>
      </c>
      <c r="C446" s="2" t="inlineStr">
        <is>
          <t>CUST-0051</t>
        </is>
      </c>
      <c r="D446" s="2" t="inlineStr">
        <is>
          <t>Thomas Anderson</t>
        </is>
      </c>
      <c r="E446" s="2" t="inlineStr">
        <is>
          <t>Germany</t>
        </is>
      </c>
      <c r="F446" s="2" t="inlineStr">
        <is>
          <t>Wall Clock</t>
        </is>
      </c>
      <c r="G446" s="2" t="inlineStr">
        <is>
          <t>Home &amp; Garden</t>
        </is>
      </c>
      <c r="H446" s="2" t="n">
        <v>1</v>
      </c>
      <c r="I446" s="4" t="n">
        <v>39.46</v>
      </c>
      <c r="J446" s="5" t="n">
        <v>0.15</v>
      </c>
      <c r="K446" s="4">
        <f>H446*I446*(1-J446)</f>
        <v/>
      </c>
      <c r="L446" s="2" t="inlineStr">
        <is>
          <t>Credit Card</t>
        </is>
      </c>
    </row>
    <row r="447">
      <c r="A447" s="6" t="inlineStr">
        <is>
          <t>ORD-00446</t>
        </is>
      </c>
      <c r="B447" s="7" t="n">
        <v>45548</v>
      </c>
      <c r="C447" s="6" t="inlineStr">
        <is>
          <t>CUST-0023</t>
        </is>
      </c>
      <c r="D447" s="6" t="inlineStr">
        <is>
          <t>Lucas Kaya</t>
        </is>
      </c>
      <c r="E447" s="6" t="inlineStr">
        <is>
          <t>UK</t>
        </is>
      </c>
      <c r="F447" s="6" t="inlineStr">
        <is>
          <t>Winter Jacket</t>
        </is>
      </c>
      <c r="G447" s="6" t="inlineStr">
        <is>
          <t>Clothing</t>
        </is>
      </c>
      <c r="H447" s="6" t="n">
        <v>3</v>
      </c>
      <c r="I447" s="8" t="n">
        <v>100.5</v>
      </c>
      <c r="J447" s="9" t="n">
        <v>0</v>
      </c>
      <c r="K447" s="8">
        <f>H447*I447*(1-J447)</f>
        <v/>
      </c>
      <c r="L447" s="6" t="inlineStr">
        <is>
          <t>Credit Card</t>
        </is>
      </c>
    </row>
    <row r="448">
      <c r="A448" s="2" t="inlineStr">
        <is>
          <t>ORD-00447</t>
        </is>
      </c>
      <c r="B448" s="3" t="n">
        <v>45548</v>
      </c>
      <c r="C448" s="2" t="inlineStr">
        <is>
          <t>CUST-0121</t>
        </is>
      </c>
      <c r="D448" s="2" t="inlineStr">
        <is>
          <t>Luna Thomas</t>
        </is>
      </c>
      <c r="E448" s="2" t="inlineStr">
        <is>
          <t>France</t>
        </is>
      </c>
      <c r="F448" s="2" t="inlineStr">
        <is>
          <t>Data Science Handbook</t>
        </is>
      </c>
      <c r="G448" s="2" t="inlineStr">
        <is>
          <t>Books</t>
        </is>
      </c>
      <c r="H448" s="2" t="n">
        <v>2</v>
      </c>
      <c r="I448" s="4" t="n">
        <v>40.47</v>
      </c>
      <c r="J448" s="5" t="n">
        <v>0</v>
      </c>
      <c r="K448" s="4">
        <f>H448*I448*(1-J448)</f>
        <v/>
      </c>
      <c r="L448" s="2" t="inlineStr">
        <is>
          <t>PayPal</t>
        </is>
      </c>
    </row>
    <row r="449">
      <c r="A449" s="6" t="inlineStr">
        <is>
          <t>ORD-00448</t>
        </is>
      </c>
      <c r="B449" s="7" t="n">
        <v>45550</v>
      </c>
      <c r="C449" s="6" t="inlineStr">
        <is>
          <t>CUST-0136</t>
        </is>
      </c>
      <c r="D449" s="6" t="inlineStr">
        <is>
          <t>Amelia Wilson</t>
        </is>
      </c>
      <c r="E449" s="6" t="inlineStr">
        <is>
          <t>Canada</t>
        </is>
      </c>
      <c r="F449" s="6" t="inlineStr">
        <is>
          <t>Running Shoes</t>
        </is>
      </c>
      <c r="G449" s="6" t="inlineStr">
        <is>
          <t>Clothing</t>
        </is>
      </c>
      <c r="H449" s="6" t="n">
        <v>1</v>
      </c>
      <c r="I449" s="8" t="n">
        <v>76.62</v>
      </c>
      <c r="J449" s="9" t="n">
        <v>0</v>
      </c>
      <c r="K449" s="8">
        <f>H449*I449*(1-J449)</f>
        <v/>
      </c>
      <c r="L449" s="6" t="inlineStr">
        <is>
          <t>PayPal</t>
        </is>
      </c>
    </row>
    <row r="450">
      <c r="A450" s="2" t="inlineStr">
        <is>
          <t>ORD-00449</t>
        </is>
      </c>
      <c r="B450" s="3" t="n">
        <v>45550</v>
      </c>
      <c r="C450" s="2" t="inlineStr">
        <is>
          <t>CUST-0015</t>
        </is>
      </c>
      <c r="D450" s="2" t="inlineStr">
        <is>
          <t>Liam Campbell</t>
        </is>
      </c>
      <c r="E450" s="2" t="inlineStr">
        <is>
          <t>Germany</t>
        </is>
      </c>
      <c r="F450" s="2" t="inlineStr">
        <is>
          <t>Leather Belt</t>
        </is>
      </c>
      <c r="G450" s="2" t="inlineStr">
        <is>
          <t>Clothing</t>
        </is>
      </c>
      <c r="H450" s="2" t="n">
        <v>1</v>
      </c>
      <c r="I450" s="4" t="n">
        <v>44.73</v>
      </c>
      <c r="J450" s="5" t="n">
        <v>0</v>
      </c>
      <c r="K450" s="4">
        <f>H450*I450*(1-J450)</f>
        <v/>
      </c>
      <c r="L450" s="2" t="inlineStr">
        <is>
          <t>Credit Card</t>
        </is>
      </c>
    </row>
    <row r="451">
      <c r="A451" s="6" t="inlineStr">
        <is>
          <t>ORD-00450</t>
        </is>
      </c>
      <c r="B451" s="7" t="n">
        <v>45554</v>
      </c>
      <c r="C451" s="6" t="inlineStr">
        <is>
          <t>CUST-0082</t>
        </is>
      </c>
      <c r="D451" s="6" t="inlineStr">
        <is>
          <t>Oliver Jackson</t>
        </is>
      </c>
      <c r="E451" s="6" t="inlineStr">
        <is>
          <t>USA</t>
        </is>
      </c>
      <c r="F451" s="6" t="inlineStr">
        <is>
          <t>Laptop Stand</t>
        </is>
      </c>
      <c r="G451" s="6" t="inlineStr">
        <is>
          <t>Electronics</t>
        </is>
      </c>
      <c r="H451" s="6" t="n">
        <v>2</v>
      </c>
      <c r="I451" s="8" t="n">
        <v>37.8</v>
      </c>
      <c r="J451" s="9" t="n">
        <v>0.05</v>
      </c>
      <c r="K451" s="8">
        <f>H451*I451*(1-J451)</f>
        <v/>
      </c>
      <c r="L451" s="6" t="inlineStr">
        <is>
          <t>Credit Card</t>
        </is>
      </c>
    </row>
    <row r="452">
      <c r="A452" s="2" t="inlineStr">
        <is>
          <t>ORD-00451</t>
        </is>
      </c>
      <c r="B452" s="3" t="n">
        <v>45554</v>
      </c>
      <c r="C452" s="2" t="inlineStr">
        <is>
          <t>CUST-0070</t>
        </is>
      </c>
      <c r="D452" s="2" t="inlineStr">
        <is>
          <t>Fatma Moore</t>
        </is>
      </c>
      <c r="E452" s="2" t="inlineStr">
        <is>
          <t>USA</t>
        </is>
      </c>
      <c r="F452" s="2" t="inlineStr">
        <is>
          <t>Leather Belt</t>
        </is>
      </c>
      <c r="G452" s="2" t="inlineStr">
        <is>
          <t>Clothing</t>
        </is>
      </c>
      <c r="H452" s="2" t="n">
        <v>1</v>
      </c>
      <c r="I452" s="4" t="n">
        <v>40.95</v>
      </c>
      <c r="J452" s="5" t="n">
        <v>0</v>
      </c>
      <c r="K452" s="4">
        <f>H452*I452*(1-J452)</f>
        <v/>
      </c>
      <c r="L452" s="2" t="inlineStr">
        <is>
          <t>Credit Card</t>
        </is>
      </c>
    </row>
    <row r="453">
      <c r="A453" s="6" t="inlineStr">
        <is>
          <t>ORD-00452</t>
        </is>
      </c>
      <c r="B453" s="7" t="n">
        <v>45555</v>
      </c>
      <c r="C453" s="6" t="inlineStr">
        <is>
          <t>CUST-0051</t>
        </is>
      </c>
      <c r="D453" s="6" t="inlineStr">
        <is>
          <t>Thomas Anderson</t>
        </is>
      </c>
      <c r="E453" s="6" t="inlineStr">
        <is>
          <t>Germany</t>
        </is>
      </c>
      <c r="F453" s="6" t="inlineStr">
        <is>
          <t>Winter Jacket</t>
        </is>
      </c>
      <c r="G453" s="6" t="inlineStr">
        <is>
          <t>Clothing</t>
        </is>
      </c>
      <c r="H453" s="6" t="n">
        <v>3</v>
      </c>
      <c r="I453" s="8" t="n">
        <v>101.1</v>
      </c>
      <c r="J453" s="9" t="n">
        <v>0</v>
      </c>
      <c r="K453" s="8">
        <f>H453*I453*(1-J453)</f>
        <v/>
      </c>
      <c r="L453" s="6" t="inlineStr">
        <is>
          <t>PayPal</t>
        </is>
      </c>
    </row>
    <row r="454">
      <c r="A454" s="2" t="inlineStr">
        <is>
          <t>ORD-00453</t>
        </is>
      </c>
      <c r="B454" s="3" t="n">
        <v>45555</v>
      </c>
      <c r="C454" s="2" t="inlineStr">
        <is>
          <t>CUST-0052</t>
        </is>
      </c>
      <c r="D454" s="2" t="inlineStr">
        <is>
          <t>Oliver Chen</t>
        </is>
      </c>
      <c r="E454" s="2" t="inlineStr">
        <is>
          <t>USA</t>
        </is>
      </c>
      <c r="F454" s="2" t="inlineStr">
        <is>
          <t>Water Bottle</t>
        </is>
      </c>
      <c r="G454" s="2" t="inlineStr">
        <is>
          <t>Sports</t>
        </is>
      </c>
      <c r="H454" s="2" t="n">
        <v>4</v>
      </c>
      <c r="I454" s="4" t="n">
        <v>25.18</v>
      </c>
      <c r="J454" s="5" t="n">
        <v>0.15</v>
      </c>
      <c r="K454" s="4">
        <f>H454*I454*(1-J454)</f>
        <v/>
      </c>
      <c r="L454" s="2" t="inlineStr">
        <is>
          <t>Credit Card</t>
        </is>
      </c>
    </row>
    <row r="455">
      <c r="A455" s="6" t="inlineStr">
        <is>
          <t>ORD-00454</t>
        </is>
      </c>
      <c r="B455" s="7" t="n">
        <v>45555</v>
      </c>
      <c r="C455" s="6" t="inlineStr">
        <is>
          <t>CUST-0043</t>
        </is>
      </c>
      <c r="D455" s="6" t="inlineStr">
        <is>
          <t>Daniel Mueller</t>
        </is>
      </c>
      <c r="E455" s="6" t="inlineStr">
        <is>
          <t>Germany</t>
        </is>
      </c>
      <c r="F455" s="6" t="inlineStr">
        <is>
          <t>Resistance Bands</t>
        </is>
      </c>
      <c r="G455" s="6" t="inlineStr">
        <is>
          <t>Sports</t>
        </is>
      </c>
      <c r="H455" s="6" t="n">
        <v>1</v>
      </c>
      <c r="I455" s="8" t="n">
        <v>18.91</v>
      </c>
      <c r="J455" s="9" t="n">
        <v>0.2</v>
      </c>
      <c r="K455" s="8">
        <f>H455*I455*(1-J455)</f>
        <v/>
      </c>
      <c r="L455" s="6" t="inlineStr">
        <is>
          <t>PayPal</t>
        </is>
      </c>
    </row>
    <row r="456">
      <c r="A456" s="2" t="inlineStr">
        <is>
          <t>ORD-00455</t>
        </is>
      </c>
      <c r="B456" s="3" t="n">
        <v>45559</v>
      </c>
      <c r="C456" s="2" t="inlineStr">
        <is>
          <t>CUST-0018</t>
        </is>
      </c>
      <c r="D456" s="2" t="inlineStr">
        <is>
          <t>Camila Bernard</t>
        </is>
      </c>
      <c r="E456" s="2" t="inlineStr">
        <is>
          <t>USA</t>
        </is>
      </c>
      <c r="F456" s="2" t="inlineStr">
        <is>
          <t>Laptop Stand</t>
        </is>
      </c>
      <c r="G456" s="2" t="inlineStr">
        <is>
          <t>Electronics</t>
        </is>
      </c>
      <c r="H456" s="2" t="n">
        <v>3</v>
      </c>
      <c r="I456" s="4" t="n">
        <v>49.91</v>
      </c>
      <c r="J456" s="5" t="n">
        <v>0.05</v>
      </c>
      <c r="K456" s="4">
        <f>H456*I456*(1-J456)</f>
        <v/>
      </c>
      <c r="L456" s="2" t="inlineStr">
        <is>
          <t>Credit Card</t>
        </is>
      </c>
    </row>
    <row r="457">
      <c r="A457" s="6" t="inlineStr">
        <is>
          <t>ORD-00456</t>
        </is>
      </c>
      <c r="B457" s="7" t="n">
        <v>45559</v>
      </c>
      <c r="C457" s="6" t="inlineStr">
        <is>
          <t>CUST-0118</t>
        </is>
      </c>
      <c r="D457" s="6" t="inlineStr">
        <is>
          <t>Oliver Rodriguez</t>
        </is>
      </c>
      <c r="E457" s="6" t="inlineStr">
        <is>
          <t>USA</t>
        </is>
      </c>
      <c r="F457" s="6" t="inlineStr">
        <is>
          <t>Water Bottle</t>
        </is>
      </c>
      <c r="G457" s="6" t="inlineStr">
        <is>
          <t>Sports</t>
        </is>
      </c>
      <c r="H457" s="6" t="n">
        <v>3</v>
      </c>
      <c r="I457" s="8" t="n">
        <v>14.49</v>
      </c>
      <c r="J457" s="9" t="n">
        <v>0</v>
      </c>
      <c r="K457" s="8">
        <f>H457*I457*(1-J457)</f>
        <v/>
      </c>
      <c r="L457" s="6" t="inlineStr">
        <is>
          <t>PayPal</t>
        </is>
      </c>
    </row>
    <row r="458">
      <c r="A458" s="2" t="inlineStr">
        <is>
          <t>ORD-00457</t>
        </is>
      </c>
      <c r="B458" s="3" t="n">
        <v>45559</v>
      </c>
      <c r="C458" s="2" t="inlineStr">
        <is>
          <t>CUST-0031</t>
        </is>
      </c>
      <c r="D458" s="2" t="inlineStr">
        <is>
          <t>Liam Harris</t>
        </is>
      </c>
      <c r="E458" s="2" t="inlineStr">
        <is>
          <t>UK</t>
        </is>
      </c>
      <c r="F458" s="2" t="inlineStr">
        <is>
          <t>Cotton T-Shirt</t>
        </is>
      </c>
      <c r="G458" s="2" t="inlineStr">
        <is>
          <t>Clothing</t>
        </is>
      </c>
      <c r="H458" s="2" t="n">
        <v>2</v>
      </c>
      <c r="I458" s="4" t="n">
        <v>24.94</v>
      </c>
      <c r="J458" s="5" t="n">
        <v>0.1</v>
      </c>
      <c r="K458" s="4">
        <f>H458*I458*(1-J458)</f>
        <v/>
      </c>
      <c r="L458" s="2" t="inlineStr">
        <is>
          <t>PayPal</t>
        </is>
      </c>
    </row>
    <row r="459">
      <c r="A459" s="6" t="inlineStr">
        <is>
          <t>ORD-00458</t>
        </is>
      </c>
      <c r="B459" s="7" t="n">
        <v>45560</v>
      </c>
      <c r="C459" s="6" t="inlineStr">
        <is>
          <t>CUST-0058</t>
        </is>
      </c>
      <c r="D459" s="6" t="inlineStr">
        <is>
          <t>Evelyn Jackson</t>
        </is>
      </c>
      <c r="E459" s="6" t="inlineStr">
        <is>
          <t>USA</t>
        </is>
      </c>
      <c r="F459" s="6" t="inlineStr">
        <is>
          <t>Fitness Tracker</t>
        </is>
      </c>
      <c r="G459" s="6" t="inlineStr">
        <is>
          <t>Sports</t>
        </is>
      </c>
      <c r="H459" s="6" t="n">
        <v>2</v>
      </c>
      <c r="I459" s="8" t="n">
        <v>52.52</v>
      </c>
      <c r="J459" s="9" t="n">
        <v>0.15</v>
      </c>
      <c r="K459" s="8">
        <f>H459*I459*(1-J459)</f>
        <v/>
      </c>
      <c r="L459" s="6" t="inlineStr">
        <is>
          <t>Bank Transfer</t>
        </is>
      </c>
    </row>
    <row r="460">
      <c r="A460" s="2" t="inlineStr">
        <is>
          <t>ORD-00459</t>
        </is>
      </c>
      <c r="B460" s="3" t="n">
        <v>45561</v>
      </c>
      <c r="C460" s="2" t="inlineStr">
        <is>
          <t>CUST-0122</t>
        </is>
      </c>
      <c r="D460" s="2" t="inlineStr">
        <is>
          <t>Alexander Ozturk</t>
        </is>
      </c>
      <c r="E460" s="2" t="inlineStr">
        <is>
          <t>Germany</t>
        </is>
      </c>
      <c r="F460" s="2" t="inlineStr">
        <is>
          <t>Water Bottle</t>
        </is>
      </c>
      <c r="G460" s="2" t="inlineStr">
        <is>
          <t>Sports</t>
        </is>
      </c>
      <c r="H460" s="2" t="n">
        <v>1</v>
      </c>
      <c r="I460" s="4" t="n">
        <v>25.16</v>
      </c>
      <c r="J460" s="5" t="n">
        <v>0.1</v>
      </c>
      <c r="K460" s="4">
        <f>H460*I460*(1-J460)</f>
        <v/>
      </c>
      <c r="L460" s="2" t="inlineStr">
        <is>
          <t>Credit Card</t>
        </is>
      </c>
    </row>
    <row r="461">
      <c r="A461" s="6" t="inlineStr">
        <is>
          <t>ORD-00460</t>
        </is>
      </c>
      <c r="B461" s="7" t="n">
        <v>45562</v>
      </c>
      <c r="C461" s="6" t="inlineStr">
        <is>
          <t>CUST-0098</t>
        </is>
      </c>
      <c r="D461" s="6" t="inlineStr">
        <is>
          <t>Hans Demir</t>
        </is>
      </c>
      <c r="E461" s="6" t="inlineStr">
        <is>
          <t>USA</t>
        </is>
      </c>
      <c r="F461" s="6" t="inlineStr">
        <is>
          <t>Water Bottle</t>
        </is>
      </c>
      <c r="G461" s="6" t="inlineStr">
        <is>
          <t>Sports</t>
        </is>
      </c>
      <c r="H461" s="6" t="n">
        <v>2</v>
      </c>
      <c r="I461" s="8" t="n">
        <v>20.47</v>
      </c>
      <c r="J461" s="9" t="n">
        <v>0.15</v>
      </c>
      <c r="K461" s="8">
        <f>H461*I461*(1-J461)</f>
        <v/>
      </c>
      <c r="L461" s="6" t="inlineStr">
        <is>
          <t>PayPal</t>
        </is>
      </c>
    </row>
    <row r="462">
      <c r="A462" s="2" t="inlineStr">
        <is>
          <t>ORD-00461</t>
        </is>
      </c>
      <c r="B462" s="3" t="n">
        <v>45562</v>
      </c>
      <c r="C462" s="2" t="inlineStr">
        <is>
          <t>CUST-0038</t>
        </is>
      </c>
      <c r="D462" s="2" t="inlineStr">
        <is>
          <t>Scarlett Moreau</t>
        </is>
      </c>
      <c r="E462" s="2" t="inlineStr">
        <is>
          <t>UK</t>
        </is>
      </c>
      <c r="F462" s="2" t="inlineStr">
        <is>
          <t>Smart Watch Band</t>
        </is>
      </c>
      <c r="G462" s="2" t="inlineStr">
        <is>
          <t>Electronics</t>
        </is>
      </c>
      <c r="H462" s="2" t="n">
        <v>5</v>
      </c>
      <c r="I462" s="4" t="n">
        <v>16.79</v>
      </c>
      <c r="J462" s="5" t="n">
        <v>0.25</v>
      </c>
      <c r="K462" s="4">
        <f>H462*I462*(1-J462)</f>
        <v/>
      </c>
      <c r="L462" s="2" t="inlineStr">
        <is>
          <t>PayPal</t>
        </is>
      </c>
    </row>
    <row r="463">
      <c r="A463" s="6" t="inlineStr">
        <is>
          <t>ORD-00462</t>
        </is>
      </c>
      <c r="B463" s="7" t="n">
        <v>45563</v>
      </c>
      <c r="C463" s="6" t="inlineStr">
        <is>
          <t>CUST-0040</t>
        </is>
      </c>
      <c r="D463" s="6" t="inlineStr">
        <is>
          <t>Ava Brown</t>
        </is>
      </c>
      <c r="E463" s="6" t="inlineStr">
        <is>
          <t>Turkey</t>
        </is>
      </c>
      <c r="F463" s="6" t="inlineStr">
        <is>
          <t>Smart Watch Band</t>
        </is>
      </c>
      <c r="G463" s="6" t="inlineStr">
        <is>
          <t>Electronics</t>
        </is>
      </c>
      <c r="H463" s="6" t="n">
        <v>2</v>
      </c>
      <c r="I463" s="8" t="n">
        <v>27.72</v>
      </c>
      <c r="J463" s="9" t="n">
        <v>0</v>
      </c>
      <c r="K463" s="8">
        <f>H463*I463*(1-J463)</f>
        <v/>
      </c>
      <c r="L463" s="6" t="inlineStr">
        <is>
          <t>PayPal</t>
        </is>
      </c>
    </row>
    <row r="464">
      <c r="A464" s="2" t="inlineStr">
        <is>
          <t>ORD-00463</t>
        </is>
      </c>
      <c r="B464" s="3" t="n">
        <v>45563</v>
      </c>
      <c r="C464" s="2" t="inlineStr">
        <is>
          <t>CUST-0143</t>
        </is>
      </c>
      <c r="D464" s="2" t="inlineStr">
        <is>
          <t>Penelope Yilmaz</t>
        </is>
      </c>
      <c r="E464" s="2" t="inlineStr">
        <is>
          <t>UK</t>
        </is>
      </c>
      <c r="F464" s="2" t="inlineStr">
        <is>
          <t>Laptop Stand</t>
        </is>
      </c>
      <c r="G464" s="2" t="inlineStr">
        <is>
          <t>Electronics</t>
        </is>
      </c>
      <c r="H464" s="2" t="n">
        <v>1</v>
      </c>
      <c r="I464" s="4" t="n">
        <v>20.86</v>
      </c>
      <c r="J464" s="5" t="n">
        <v>0.1</v>
      </c>
      <c r="K464" s="4">
        <f>H464*I464*(1-J464)</f>
        <v/>
      </c>
      <c r="L464" s="2" t="inlineStr">
        <is>
          <t>Bank Transfer</t>
        </is>
      </c>
    </row>
    <row r="465">
      <c r="A465" s="6" t="inlineStr">
        <is>
          <t>ORD-00464</t>
        </is>
      </c>
      <c r="B465" s="7" t="n">
        <v>45564</v>
      </c>
      <c r="C465" s="6" t="inlineStr">
        <is>
          <t>CUST-0118</t>
        </is>
      </c>
      <c r="D465" s="6" t="inlineStr">
        <is>
          <t>Oliver Rodriguez</t>
        </is>
      </c>
      <c r="E465" s="6" t="inlineStr">
        <is>
          <t>USA</t>
        </is>
      </c>
      <c r="F465" s="6" t="inlineStr">
        <is>
          <t>Smart Watch Band</t>
        </is>
      </c>
      <c r="G465" s="6" t="inlineStr">
        <is>
          <t>Electronics</t>
        </is>
      </c>
      <c r="H465" s="6" t="n">
        <v>1</v>
      </c>
      <c r="I465" s="8" t="n">
        <v>26.12</v>
      </c>
      <c r="J465" s="9" t="n">
        <v>0.05</v>
      </c>
      <c r="K465" s="8">
        <f>H465*I465*(1-J465)</f>
        <v/>
      </c>
      <c r="L465" s="6" t="inlineStr">
        <is>
          <t>Credit Card</t>
        </is>
      </c>
    </row>
    <row r="466">
      <c r="A466" s="2" t="inlineStr">
        <is>
          <t>ORD-00465</t>
        </is>
      </c>
      <c r="B466" s="3" t="n">
        <v>45567</v>
      </c>
      <c r="C466" s="2" t="inlineStr">
        <is>
          <t>CUST-0127</t>
        </is>
      </c>
      <c r="D466" s="2" t="inlineStr">
        <is>
          <t>Sophie Lefebvre</t>
        </is>
      </c>
      <c r="E466" s="2" t="inlineStr">
        <is>
          <t>Germany</t>
        </is>
      </c>
      <c r="F466" s="2" t="inlineStr">
        <is>
          <t>Plant Pot Set</t>
        </is>
      </c>
      <c r="G466" s="2" t="inlineStr">
        <is>
          <t>Home &amp; Garden</t>
        </is>
      </c>
      <c r="H466" s="2" t="n">
        <v>1</v>
      </c>
      <c r="I466" s="4" t="n">
        <v>26.44</v>
      </c>
      <c r="J466" s="5" t="n">
        <v>0</v>
      </c>
      <c r="K466" s="4">
        <f>H466*I466*(1-J466)</f>
        <v/>
      </c>
      <c r="L466" s="2" t="inlineStr">
        <is>
          <t>Credit Card</t>
        </is>
      </c>
    </row>
    <row r="467">
      <c r="A467" s="6" t="inlineStr">
        <is>
          <t>ORD-00466</t>
        </is>
      </c>
      <c r="B467" s="7" t="n">
        <v>45567</v>
      </c>
      <c r="C467" s="6" t="inlineStr">
        <is>
          <t>CUST-0078</t>
        </is>
      </c>
      <c r="D467" s="6" t="inlineStr">
        <is>
          <t>Scarlett Yilmaz</t>
        </is>
      </c>
      <c r="E467" s="6" t="inlineStr">
        <is>
          <t>UK</t>
        </is>
      </c>
      <c r="F467" s="6" t="inlineStr">
        <is>
          <t>Throw Pillow</t>
        </is>
      </c>
      <c r="G467" s="6" t="inlineStr">
        <is>
          <t>Home &amp; Garden</t>
        </is>
      </c>
      <c r="H467" s="6" t="n">
        <v>1</v>
      </c>
      <c r="I467" s="8" t="n">
        <v>25.99</v>
      </c>
      <c r="J467" s="9" t="n">
        <v>0.1</v>
      </c>
      <c r="K467" s="8">
        <f>H467*I467*(1-J467)</f>
        <v/>
      </c>
      <c r="L467" s="6" t="inlineStr">
        <is>
          <t>Credit Card</t>
        </is>
      </c>
    </row>
    <row r="468">
      <c r="A468" s="2" t="inlineStr">
        <is>
          <t>ORD-00467</t>
        </is>
      </c>
      <c r="B468" s="3" t="n">
        <v>45568</v>
      </c>
      <c r="C468" s="2" t="inlineStr">
        <is>
          <t>CUST-0118</t>
        </is>
      </c>
      <c r="D468" s="2" t="inlineStr">
        <is>
          <t>Oliver Rodriguez</t>
        </is>
      </c>
      <c r="E468" s="2" t="inlineStr">
        <is>
          <t>USA</t>
        </is>
      </c>
      <c r="F468" s="2" t="inlineStr">
        <is>
          <t>USB-C Hub</t>
        </is>
      </c>
      <c r="G468" s="2" t="inlineStr">
        <is>
          <t>Electronics</t>
        </is>
      </c>
      <c r="H468" s="2" t="n">
        <v>1</v>
      </c>
      <c r="I468" s="4" t="n">
        <v>40.44</v>
      </c>
      <c r="J468" s="5" t="n">
        <v>0.2</v>
      </c>
      <c r="K468" s="4">
        <f>H468*I468*(1-J468)</f>
        <v/>
      </c>
      <c r="L468" s="2" t="inlineStr">
        <is>
          <t>Credit Card</t>
        </is>
      </c>
    </row>
    <row r="469">
      <c r="A469" s="6" t="inlineStr">
        <is>
          <t>ORD-00468</t>
        </is>
      </c>
      <c r="B469" s="7" t="n">
        <v>45569</v>
      </c>
      <c r="C469" s="6" t="inlineStr">
        <is>
          <t>CUST-0140</t>
        </is>
      </c>
      <c r="D469" s="6" t="inlineStr">
        <is>
          <t>Amelia Lee</t>
        </is>
      </c>
      <c r="E469" s="6" t="inlineStr">
        <is>
          <t>USA</t>
        </is>
      </c>
      <c r="F469" s="6" t="inlineStr">
        <is>
          <t>Running Shoes</t>
        </is>
      </c>
      <c r="G469" s="6" t="inlineStr">
        <is>
          <t>Clothing</t>
        </is>
      </c>
      <c r="H469" s="6" t="n">
        <v>3</v>
      </c>
      <c r="I469" s="8" t="n">
        <v>93.8</v>
      </c>
      <c r="J469" s="9" t="n">
        <v>0.1</v>
      </c>
      <c r="K469" s="8">
        <f>H469*I469*(1-J469)</f>
        <v/>
      </c>
      <c r="L469" s="6" t="inlineStr">
        <is>
          <t>Credit Card</t>
        </is>
      </c>
    </row>
    <row r="470">
      <c r="A470" s="2" t="inlineStr">
        <is>
          <t>ORD-00469</t>
        </is>
      </c>
      <c r="B470" s="3" t="n">
        <v>45571</v>
      </c>
      <c r="C470" s="2" t="inlineStr">
        <is>
          <t>CUST-0132</t>
        </is>
      </c>
      <c r="D470" s="2" t="inlineStr">
        <is>
          <t>Camila Williams</t>
        </is>
      </c>
      <c r="E470" s="2" t="inlineStr">
        <is>
          <t>Turkey</t>
        </is>
      </c>
      <c r="F470" s="2" t="inlineStr">
        <is>
          <t>USB-C Hub</t>
        </is>
      </c>
      <c r="G470" s="2" t="inlineStr">
        <is>
          <t>Electronics</t>
        </is>
      </c>
      <c r="H470" s="2" t="n">
        <v>1</v>
      </c>
      <c r="I470" s="4" t="n">
        <v>26.95</v>
      </c>
      <c r="J470" s="5" t="n">
        <v>0</v>
      </c>
      <c r="K470" s="4">
        <f>H470*I470*(1-J470)</f>
        <v/>
      </c>
      <c r="L470" s="2" t="inlineStr">
        <is>
          <t>Bank Transfer</t>
        </is>
      </c>
    </row>
    <row r="471">
      <c r="A471" s="6" t="inlineStr">
        <is>
          <t>ORD-00470</t>
        </is>
      </c>
      <c r="B471" s="7" t="n">
        <v>45572</v>
      </c>
      <c r="C471" s="6" t="inlineStr">
        <is>
          <t>CUST-0062</t>
        </is>
      </c>
      <c r="D471" s="6" t="inlineStr">
        <is>
          <t>Mehmet Weber</t>
        </is>
      </c>
      <c r="E471" s="6" t="inlineStr">
        <is>
          <t>USA</t>
        </is>
      </c>
      <c r="F471" s="6" t="inlineStr">
        <is>
          <t>Water Bottle</t>
        </is>
      </c>
      <c r="G471" s="6" t="inlineStr">
        <is>
          <t>Sports</t>
        </is>
      </c>
      <c r="H471" s="6" t="n">
        <v>2</v>
      </c>
      <c r="I471" s="8" t="n">
        <v>22.35</v>
      </c>
      <c r="J471" s="9" t="n">
        <v>0</v>
      </c>
      <c r="K471" s="8">
        <f>H471*I471*(1-J471)</f>
        <v/>
      </c>
      <c r="L471" s="6" t="inlineStr">
        <is>
          <t>Bank Transfer</t>
        </is>
      </c>
    </row>
    <row r="472">
      <c r="A472" s="2" t="inlineStr">
        <is>
          <t>ORD-00471</t>
        </is>
      </c>
      <c r="B472" s="3" t="n">
        <v>45572</v>
      </c>
      <c r="C472" s="2" t="inlineStr">
        <is>
          <t>CUST-0060</t>
        </is>
      </c>
      <c r="D472" s="2" t="inlineStr">
        <is>
          <t>Ayse Jones</t>
        </is>
      </c>
      <c r="E472" s="2" t="inlineStr">
        <is>
          <t>Canada</t>
        </is>
      </c>
      <c r="F472" s="2" t="inlineStr">
        <is>
          <t>USB-C Hub</t>
        </is>
      </c>
      <c r="G472" s="2" t="inlineStr">
        <is>
          <t>Electronics</t>
        </is>
      </c>
      <c r="H472" s="2" t="n">
        <v>2</v>
      </c>
      <c r="I472" s="4" t="n">
        <v>25.31</v>
      </c>
      <c r="J472" s="5" t="n">
        <v>0</v>
      </c>
      <c r="K472" s="4">
        <f>H472*I472*(1-J472)</f>
        <v/>
      </c>
      <c r="L472" s="2" t="inlineStr">
        <is>
          <t>PayPal</t>
        </is>
      </c>
    </row>
    <row r="473">
      <c r="A473" s="6" t="inlineStr">
        <is>
          <t>ORD-00472</t>
        </is>
      </c>
      <c r="B473" s="7" t="n">
        <v>45575</v>
      </c>
      <c r="C473" s="6" t="inlineStr">
        <is>
          <t>CUST-0026</t>
        </is>
      </c>
      <c r="D473" s="6" t="inlineStr">
        <is>
          <t>Jean Wilson</t>
        </is>
      </c>
      <c r="E473" s="6" t="inlineStr">
        <is>
          <t>Germany</t>
        </is>
      </c>
      <c r="F473" s="6" t="inlineStr">
        <is>
          <t>Leather Belt</t>
        </is>
      </c>
      <c r="G473" s="6" t="inlineStr">
        <is>
          <t>Clothing</t>
        </is>
      </c>
      <c r="H473" s="6" t="n">
        <v>1</v>
      </c>
      <c r="I473" s="8" t="n">
        <v>33.97</v>
      </c>
      <c r="J473" s="9" t="n">
        <v>0</v>
      </c>
      <c r="K473" s="8">
        <f>H473*I473*(1-J473)</f>
        <v/>
      </c>
      <c r="L473" s="6" t="inlineStr">
        <is>
          <t>Credit Card</t>
        </is>
      </c>
    </row>
    <row r="474">
      <c r="A474" s="2" t="inlineStr">
        <is>
          <t>ORD-00473</t>
        </is>
      </c>
      <c r="B474" s="3" t="n">
        <v>45575</v>
      </c>
      <c r="C474" s="2" t="inlineStr">
        <is>
          <t>CUST-0030</t>
        </is>
      </c>
      <c r="D474" s="2" t="inlineStr">
        <is>
          <t>Laura Brown</t>
        </is>
      </c>
      <c r="E474" s="2" t="inlineStr">
        <is>
          <t>USA</t>
        </is>
      </c>
      <c r="F474" s="2" t="inlineStr">
        <is>
          <t>Plant Pot Set</t>
        </is>
      </c>
      <c r="G474" s="2" t="inlineStr">
        <is>
          <t>Home &amp; Garden</t>
        </is>
      </c>
      <c r="H474" s="2" t="n">
        <v>1</v>
      </c>
      <c r="I474" s="4" t="n">
        <v>37.64</v>
      </c>
      <c r="J474" s="5" t="n">
        <v>0.1</v>
      </c>
      <c r="K474" s="4">
        <f>H474*I474*(1-J474)</f>
        <v/>
      </c>
      <c r="L474" s="2" t="inlineStr">
        <is>
          <t>PayPal</t>
        </is>
      </c>
    </row>
    <row r="475">
      <c r="A475" s="6" t="inlineStr">
        <is>
          <t>ORD-00474</t>
        </is>
      </c>
      <c r="B475" s="7" t="n">
        <v>45576</v>
      </c>
      <c r="C475" s="6" t="inlineStr">
        <is>
          <t>CUST-0015</t>
        </is>
      </c>
      <c r="D475" s="6" t="inlineStr">
        <is>
          <t>Liam Campbell</t>
        </is>
      </c>
      <c r="E475" s="6" t="inlineStr">
        <is>
          <t>Germany</t>
        </is>
      </c>
      <c r="F475" s="6" t="inlineStr">
        <is>
          <t>Laptop Stand</t>
        </is>
      </c>
      <c r="G475" s="6" t="inlineStr">
        <is>
          <t>Electronics</t>
        </is>
      </c>
      <c r="H475" s="6" t="n">
        <v>3</v>
      </c>
      <c r="I475" s="8" t="n">
        <v>26.27</v>
      </c>
      <c r="J475" s="9" t="n">
        <v>0.05</v>
      </c>
      <c r="K475" s="8">
        <f>H475*I475*(1-J475)</f>
        <v/>
      </c>
      <c r="L475" s="6" t="inlineStr">
        <is>
          <t>Credit Card</t>
        </is>
      </c>
    </row>
    <row r="476">
      <c r="A476" s="2" t="inlineStr">
        <is>
          <t>ORD-00475</t>
        </is>
      </c>
      <c r="B476" s="3" t="n">
        <v>45577</v>
      </c>
      <c r="C476" s="2" t="inlineStr">
        <is>
          <t>CUST-0083</t>
        </is>
      </c>
      <c r="D476" s="2" t="inlineStr">
        <is>
          <t>Pierre Wilson</t>
        </is>
      </c>
      <c r="E476" s="2" t="inlineStr">
        <is>
          <t>USA</t>
        </is>
      </c>
      <c r="F476" s="2" t="inlineStr">
        <is>
          <t>Travel Photography</t>
        </is>
      </c>
      <c r="G476" s="2" t="inlineStr">
        <is>
          <t>Books</t>
        </is>
      </c>
      <c r="H476" s="2" t="n">
        <v>2</v>
      </c>
      <c r="I476" s="4" t="n">
        <v>26.31</v>
      </c>
      <c r="J476" s="5" t="n">
        <v>0.05</v>
      </c>
      <c r="K476" s="4">
        <f>H476*I476*(1-J476)</f>
        <v/>
      </c>
      <c r="L476" s="2" t="inlineStr">
        <is>
          <t>PayPal</t>
        </is>
      </c>
    </row>
    <row r="477">
      <c r="A477" s="6" t="inlineStr">
        <is>
          <t>ORD-00476</t>
        </is>
      </c>
      <c r="B477" s="7" t="n">
        <v>45579</v>
      </c>
      <c r="C477" s="6" t="inlineStr">
        <is>
          <t>CUST-0101</t>
        </is>
      </c>
      <c r="D477" s="6" t="inlineStr">
        <is>
          <t>Amelia Schmidt</t>
        </is>
      </c>
      <c r="E477" s="6" t="inlineStr">
        <is>
          <t>USA</t>
        </is>
      </c>
      <c r="F477" s="6" t="inlineStr">
        <is>
          <t>Wireless Headphones</t>
        </is>
      </c>
      <c r="G477" s="6" t="inlineStr">
        <is>
          <t>Electronics</t>
        </is>
      </c>
      <c r="H477" s="6" t="n">
        <v>5</v>
      </c>
      <c r="I477" s="8" t="n">
        <v>84.79000000000001</v>
      </c>
      <c r="J477" s="9" t="n">
        <v>0</v>
      </c>
      <c r="K477" s="8">
        <f>H477*I477*(1-J477)</f>
        <v/>
      </c>
      <c r="L477" s="6" t="inlineStr">
        <is>
          <t>Credit Card</t>
        </is>
      </c>
    </row>
    <row r="478">
      <c r="A478" s="2" t="inlineStr">
        <is>
          <t>ORD-00477</t>
        </is>
      </c>
      <c r="B478" s="3" t="n">
        <v>45581</v>
      </c>
      <c r="C478" s="2" t="inlineStr">
        <is>
          <t>CUST-0125</t>
        </is>
      </c>
      <c r="D478" s="2" t="inlineStr">
        <is>
          <t>Laura Rodriguez</t>
        </is>
      </c>
      <c r="E478" s="2" t="inlineStr">
        <is>
          <t>France</t>
        </is>
      </c>
      <c r="F478" s="2" t="inlineStr">
        <is>
          <t>Plant Pot Set</t>
        </is>
      </c>
      <c r="G478" s="2" t="inlineStr">
        <is>
          <t>Home &amp; Garden</t>
        </is>
      </c>
      <c r="H478" s="2" t="n">
        <v>2</v>
      </c>
      <c r="I478" s="4" t="n">
        <v>32.67</v>
      </c>
      <c r="J478" s="5" t="n">
        <v>0.15</v>
      </c>
      <c r="K478" s="4">
        <f>H478*I478*(1-J478)</f>
        <v/>
      </c>
      <c r="L478" s="2" t="inlineStr">
        <is>
          <t>PayPal</t>
        </is>
      </c>
    </row>
    <row r="479">
      <c r="A479" s="6" t="inlineStr">
        <is>
          <t>ORD-00478</t>
        </is>
      </c>
      <c r="B479" s="7" t="n">
        <v>45581</v>
      </c>
      <c r="C479" s="6" t="inlineStr">
        <is>
          <t>CUST-0137</t>
        </is>
      </c>
      <c r="D479" s="6" t="inlineStr">
        <is>
          <t>Mia Dupont</t>
        </is>
      </c>
      <c r="E479" s="6" t="inlineStr">
        <is>
          <t>USA</t>
        </is>
      </c>
      <c r="F479" s="6" t="inlineStr">
        <is>
          <t>Running Shoes</t>
        </is>
      </c>
      <c r="G479" s="6" t="inlineStr">
        <is>
          <t>Clothing</t>
        </is>
      </c>
      <c r="H479" s="6" t="n">
        <v>1</v>
      </c>
      <c r="I479" s="8" t="n">
        <v>93.70999999999999</v>
      </c>
      <c r="J479" s="9" t="n">
        <v>0</v>
      </c>
      <c r="K479" s="8">
        <f>H479*I479*(1-J479)</f>
        <v/>
      </c>
      <c r="L479" s="6" t="inlineStr">
        <is>
          <t>Credit Card</t>
        </is>
      </c>
    </row>
    <row r="480">
      <c r="A480" s="2" t="inlineStr">
        <is>
          <t>ORD-00479</t>
        </is>
      </c>
      <c r="B480" s="3" t="n">
        <v>45582</v>
      </c>
      <c r="C480" s="2" t="inlineStr">
        <is>
          <t>CUST-0138</t>
        </is>
      </c>
      <c r="D480" s="2" t="inlineStr">
        <is>
          <t>Anna Clark</t>
        </is>
      </c>
      <c r="E480" s="2" t="inlineStr">
        <is>
          <t>Turkey</t>
        </is>
      </c>
      <c r="F480" s="2" t="inlineStr">
        <is>
          <t>Plant Pot Set</t>
        </is>
      </c>
      <c r="G480" s="2" t="inlineStr">
        <is>
          <t>Home &amp; Garden</t>
        </is>
      </c>
      <c r="H480" s="2" t="n">
        <v>1</v>
      </c>
      <c r="I480" s="4" t="n">
        <v>21.93</v>
      </c>
      <c r="J480" s="5" t="n">
        <v>0.05</v>
      </c>
      <c r="K480" s="4">
        <f>H480*I480*(1-J480)</f>
        <v/>
      </c>
      <c r="L480" s="2" t="inlineStr">
        <is>
          <t>Credit Card</t>
        </is>
      </c>
    </row>
    <row r="481">
      <c r="A481" s="6" t="inlineStr">
        <is>
          <t>ORD-00480</t>
        </is>
      </c>
      <c r="B481" s="7" t="n">
        <v>45585</v>
      </c>
      <c r="C481" s="6" t="inlineStr">
        <is>
          <t>CUST-0008</t>
        </is>
      </c>
      <c r="D481" s="6" t="inlineStr">
        <is>
          <t>William Fischer</t>
        </is>
      </c>
      <c r="E481" s="6" t="inlineStr">
        <is>
          <t>UK</t>
        </is>
      </c>
      <c r="F481" s="6" t="inlineStr">
        <is>
          <t>Smart Watch Band</t>
        </is>
      </c>
      <c r="G481" s="6" t="inlineStr">
        <is>
          <t>Electronics</t>
        </is>
      </c>
      <c r="H481" s="6" t="n">
        <v>2</v>
      </c>
      <c r="I481" s="8" t="n">
        <v>31.63</v>
      </c>
      <c r="J481" s="9" t="n">
        <v>0</v>
      </c>
      <c r="K481" s="8">
        <f>H481*I481*(1-J481)</f>
        <v/>
      </c>
      <c r="L481" s="6" t="inlineStr">
        <is>
          <t>PayPal</t>
        </is>
      </c>
    </row>
    <row r="482">
      <c r="A482" s="2" t="inlineStr">
        <is>
          <t>ORD-00481</t>
        </is>
      </c>
      <c r="B482" s="3" t="n">
        <v>45589</v>
      </c>
      <c r="C482" s="2" t="inlineStr">
        <is>
          <t>CUST-0103</t>
        </is>
      </c>
      <c r="D482" s="2" t="inlineStr">
        <is>
          <t>Liam Roy</t>
        </is>
      </c>
      <c r="E482" s="2" t="inlineStr">
        <is>
          <t>USA</t>
        </is>
      </c>
      <c r="F482" s="2" t="inlineStr">
        <is>
          <t>Business Strategy</t>
        </is>
      </c>
      <c r="G482" s="2" t="inlineStr">
        <is>
          <t>Books</t>
        </is>
      </c>
      <c r="H482" s="2" t="n">
        <v>2</v>
      </c>
      <c r="I482" s="4" t="n">
        <v>39.3</v>
      </c>
      <c r="J482" s="5" t="n">
        <v>0</v>
      </c>
      <c r="K482" s="4">
        <f>H482*I482*(1-J482)</f>
        <v/>
      </c>
      <c r="L482" s="2" t="inlineStr">
        <is>
          <t>Credit Card</t>
        </is>
      </c>
    </row>
    <row r="483">
      <c r="A483" s="6" t="inlineStr">
        <is>
          <t>ORD-00482</t>
        </is>
      </c>
      <c r="B483" s="7" t="n">
        <v>45589</v>
      </c>
      <c r="C483" s="6" t="inlineStr">
        <is>
          <t>CUST-0019</t>
        </is>
      </c>
      <c r="D483" s="6" t="inlineStr">
        <is>
          <t>Noah Williams</t>
        </is>
      </c>
      <c r="E483" s="6" t="inlineStr">
        <is>
          <t>France</t>
        </is>
      </c>
      <c r="F483" s="6" t="inlineStr">
        <is>
          <t>Resistance Bands</t>
        </is>
      </c>
      <c r="G483" s="6" t="inlineStr">
        <is>
          <t>Sports</t>
        </is>
      </c>
      <c r="H483" s="6" t="n">
        <v>3</v>
      </c>
      <c r="I483" s="8" t="n">
        <v>10.47</v>
      </c>
      <c r="J483" s="9" t="n">
        <v>0</v>
      </c>
      <c r="K483" s="8">
        <f>H483*I483*(1-J483)</f>
        <v/>
      </c>
      <c r="L483" s="6" t="inlineStr">
        <is>
          <t>Credit Card</t>
        </is>
      </c>
    </row>
    <row r="484">
      <c r="A484" s="2" t="inlineStr">
        <is>
          <t>ORD-00483</t>
        </is>
      </c>
      <c r="B484" s="3" t="n">
        <v>45590</v>
      </c>
      <c r="C484" s="2" t="inlineStr">
        <is>
          <t>CUST-0096</t>
        </is>
      </c>
      <c r="D484" s="2" t="inlineStr">
        <is>
          <t>Pierre Brown</t>
        </is>
      </c>
      <c r="E484" s="2" t="inlineStr">
        <is>
          <t>France</t>
        </is>
      </c>
      <c r="F484" s="2" t="inlineStr">
        <is>
          <t>Python Programming</t>
        </is>
      </c>
      <c r="G484" s="2" t="inlineStr">
        <is>
          <t>Books</t>
        </is>
      </c>
      <c r="H484" s="2" t="n">
        <v>2</v>
      </c>
      <c r="I484" s="4" t="n">
        <v>41.06</v>
      </c>
      <c r="J484" s="5" t="n">
        <v>0</v>
      </c>
      <c r="K484" s="4">
        <f>H484*I484*(1-J484)</f>
        <v/>
      </c>
      <c r="L484" s="2" t="inlineStr">
        <is>
          <t>Credit Card</t>
        </is>
      </c>
    </row>
    <row r="485">
      <c r="A485" s="6" t="inlineStr">
        <is>
          <t>ORD-00484</t>
        </is>
      </c>
      <c r="B485" s="7" t="n">
        <v>45591</v>
      </c>
      <c r="C485" s="6" t="inlineStr">
        <is>
          <t>CUST-0003</t>
        </is>
      </c>
      <c r="D485" s="6" t="inlineStr">
        <is>
          <t>Anna Miller</t>
        </is>
      </c>
      <c r="E485" s="6" t="inlineStr">
        <is>
          <t>France</t>
        </is>
      </c>
      <c r="F485" s="6" t="inlineStr">
        <is>
          <t>Wireless Mouse</t>
        </is>
      </c>
      <c r="G485" s="6" t="inlineStr">
        <is>
          <t>Electronics</t>
        </is>
      </c>
      <c r="H485" s="6" t="n">
        <v>4</v>
      </c>
      <c r="I485" s="8" t="n">
        <v>26.13</v>
      </c>
      <c r="J485" s="9" t="n">
        <v>0.1</v>
      </c>
      <c r="K485" s="8">
        <f>H485*I485*(1-J485)</f>
        <v/>
      </c>
      <c r="L485" s="6" t="inlineStr">
        <is>
          <t>PayPal</t>
        </is>
      </c>
    </row>
    <row r="486">
      <c r="A486" s="2" t="inlineStr">
        <is>
          <t>ORD-00485</t>
        </is>
      </c>
      <c r="B486" s="3" t="n">
        <v>45591</v>
      </c>
      <c r="C486" s="2" t="inlineStr">
        <is>
          <t>CUST-0083</t>
        </is>
      </c>
      <c r="D486" s="2" t="inlineStr">
        <is>
          <t>Pierre Wilson</t>
        </is>
      </c>
      <c r="E486" s="2" t="inlineStr">
        <is>
          <t>USA</t>
        </is>
      </c>
      <c r="F486" s="2" t="inlineStr">
        <is>
          <t>Laptop Stand</t>
        </is>
      </c>
      <c r="G486" s="2" t="inlineStr">
        <is>
          <t>Electronics</t>
        </is>
      </c>
      <c r="H486" s="2" t="n">
        <v>1</v>
      </c>
      <c r="I486" s="4" t="n">
        <v>45.04</v>
      </c>
      <c r="J486" s="5" t="n">
        <v>0.05</v>
      </c>
      <c r="K486" s="4">
        <f>H486*I486*(1-J486)</f>
        <v/>
      </c>
      <c r="L486" s="2" t="inlineStr">
        <is>
          <t>Credit Card</t>
        </is>
      </c>
    </row>
    <row r="487">
      <c r="A487" s="6" t="inlineStr">
        <is>
          <t>ORD-00486</t>
        </is>
      </c>
      <c r="B487" s="7" t="n">
        <v>45592</v>
      </c>
      <c r="C487" s="6" t="inlineStr">
        <is>
          <t>CUST-0086</t>
        </is>
      </c>
      <c r="D487" s="6" t="inlineStr">
        <is>
          <t>Sophie Miller</t>
        </is>
      </c>
      <c r="E487" s="6" t="inlineStr">
        <is>
          <t>USA</t>
        </is>
      </c>
      <c r="F487" s="6" t="inlineStr">
        <is>
          <t>Resistance Bands</t>
        </is>
      </c>
      <c r="G487" s="6" t="inlineStr">
        <is>
          <t>Sports</t>
        </is>
      </c>
      <c r="H487" s="6" t="n">
        <v>4</v>
      </c>
      <c r="I487" s="8" t="n">
        <v>10.76</v>
      </c>
      <c r="J487" s="9" t="n">
        <v>0.05</v>
      </c>
      <c r="K487" s="8">
        <f>H487*I487*(1-J487)</f>
        <v/>
      </c>
      <c r="L487" s="6" t="inlineStr">
        <is>
          <t>PayPal</t>
        </is>
      </c>
    </row>
    <row r="488">
      <c r="A488" s="2" t="inlineStr">
        <is>
          <t>ORD-00487</t>
        </is>
      </c>
      <c r="B488" s="3" t="n">
        <v>45594</v>
      </c>
      <c r="C488" s="2" t="inlineStr">
        <is>
          <t>CUST-0077</t>
        </is>
      </c>
      <c r="D488" s="2" t="inlineStr">
        <is>
          <t>Mason Miller</t>
        </is>
      </c>
      <c r="E488" s="2" t="inlineStr">
        <is>
          <t>USA</t>
        </is>
      </c>
      <c r="F488" s="2" t="inlineStr">
        <is>
          <t>Bluetooth Speaker</t>
        </is>
      </c>
      <c r="G488" s="2" t="inlineStr">
        <is>
          <t>Electronics</t>
        </is>
      </c>
      <c r="H488" s="2" t="n">
        <v>3</v>
      </c>
      <c r="I488" s="4" t="n">
        <v>83.97</v>
      </c>
      <c r="J488" s="5" t="n">
        <v>0.15</v>
      </c>
      <c r="K488" s="4">
        <f>H488*I488*(1-J488)</f>
        <v/>
      </c>
      <c r="L488" s="2" t="inlineStr">
        <is>
          <t>PayPal</t>
        </is>
      </c>
    </row>
    <row r="489">
      <c r="A489" s="6" t="inlineStr">
        <is>
          <t>ORD-00488</t>
        </is>
      </c>
      <c r="B489" s="7" t="n">
        <v>45596</v>
      </c>
      <c r="C489" s="6" t="inlineStr">
        <is>
          <t>CUST-0090</t>
        </is>
      </c>
      <c r="D489" s="6" t="inlineStr">
        <is>
          <t>Aria Brown</t>
        </is>
      </c>
      <c r="E489" s="6" t="inlineStr">
        <is>
          <t>USA</t>
        </is>
      </c>
      <c r="F489" s="6" t="inlineStr">
        <is>
          <t>Power Bank</t>
        </is>
      </c>
      <c r="G489" s="6" t="inlineStr">
        <is>
          <t>Electronics</t>
        </is>
      </c>
      <c r="H489" s="6" t="n">
        <v>3</v>
      </c>
      <c r="I489" s="8" t="n">
        <v>41.14</v>
      </c>
      <c r="J489" s="9" t="n">
        <v>0</v>
      </c>
      <c r="K489" s="8">
        <f>H489*I489*(1-J489)</f>
        <v/>
      </c>
      <c r="L489" s="6" t="inlineStr">
        <is>
          <t>Credit Card</t>
        </is>
      </c>
    </row>
    <row r="490">
      <c r="A490" s="2" t="inlineStr">
        <is>
          <t>ORD-00489</t>
        </is>
      </c>
      <c r="B490" s="3" t="n">
        <v>45596</v>
      </c>
      <c r="C490" s="2" t="inlineStr">
        <is>
          <t>CUST-0097</t>
        </is>
      </c>
      <c r="D490" s="2" t="inlineStr">
        <is>
          <t>Olivia Brown</t>
        </is>
      </c>
      <c r="E490" s="2" t="inlineStr">
        <is>
          <t>Germany</t>
        </is>
      </c>
      <c r="F490" s="2" t="inlineStr">
        <is>
          <t>Leather Belt</t>
        </is>
      </c>
      <c r="G490" s="2" t="inlineStr">
        <is>
          <t>Clothing</t>
        </is>
      </c>
      <c r="H490" s="2" t="n">
        <v>1</v>
      </c>
      <c r="I490" s="4" t="n">
        <v>51.94</v>
      </c>
      <c r="J490" s="5" t="n">
        <v>0</v>
      </c>
      <c r="K490" s="4">
        <f>H490*I490*(1-J490)</f>
        <v/>
      </c>
      <c r="L490" s="2" t="inlineStr">
        <is>
          <t>Bank Transfer</t>
        </is>
      </c>
    </row>
    <row r="491">
      <c r="A491" s="6" t="inlineStr">
        <is>
          <t>ORD-00490</t>
        </is>
      </c>
      <c r="B491" s="7" t="n">
        <v>45597</v>
      </c>
      <c r="C491" s="6" t="inlineStr">
        <is>
          <t>CUST-0040</t>
        </is>
      </c>
      <c r="D491" s="6" t="inlineStr">
        <is>
          <t>Ava Brown</t>
        </is>
      </c>
      <c r="E491" s="6" t="inlineStr">
        <is>
          <t>Turkey</t>
        </is>
      </c>
      <c r="F491" s="6" t="inlineStr">
        <is>
          <t>Laptop Stand</t>
        </is>
      </c>
      <c r="G491" s="6" t="inlineStr">
        <is>
          <t>Electronics</t>
        </is>
      </c>
      <c r="H491" s="6" t="n">
        <v>2</v>
      </c>
      <c r="I491" s="8" t="n">
        <v>30.15</v>
      </c>
      <c r="J491" s="9" t="n">
        <v>0.1</v>
      </c>
      <c r="K491" s="8">
        <f>H491*I491*(1-J491)</f>
        <v/>
      </c>
      <c r="L491" s="6" t="inlineStr">
        <is>
          <t>Bank Transfer</t>
        </is>
      </c>
    </row>
    <row r="492">
      <c r="A492" s="2" t="inlineStr">
        <is>
          <t>ORD-00491</t>
        </is>
      </c>
      <c r="B492" s="3" t="n">
        <v>45597</v>
      </c>
      <c r="C492" s="2" t="inlineStr">
        <is>
          <t>CUST-0117</t>
        </is>
      </c>
      <c r="D492" s="2" t="inlineStr">
        <is>
          <t>Sophie White</t>
        </is>
      </c>
      <c r="E492" s="2" t="inlineStr">
        <is>
          <t>Canada</t>
        </is>
      </c>
      <c r="F492" s="2" t="inlineStr">
        <is>
          <t>Business Strategy</t>
        </is>
      </c>
      <c r="G492" s="2" t="inlineStr">
        <is>
          <t>Books</t>
        </is>
      </c>
      <c r="H492" s="2" t="n">
        <v>3</v>
      </c>
      <c r="I492" s="4" t="n">
        <v>36.5</v>
      </c>
      <c r="J492" s="5" t="n">
        <v>0.15</v>
      </c>
      <c r="K492" s="4">
        <f>H492*I492*(1-J492)</f>
        <v/>
      </c>
      <c r="L492" s="2" t="inlineStr">
        <is>
          <t>Credit Card</t>
        </is>
      </c>
    </row>
    <row r="493">
      <c r="A493" s="6" t="inlineStr">
        <is>
          <t>ORD-00492</t>
        </is>
      </c>
      <c r="B493" s="7" t="n">
        <v>45600</v>
      </c>
      <c r="C493" s="6" t="inlineStr">
        <is>
          <t>CUST-0143</t>
        </is>
      </c>
      <c r="D493" s="6" t="inlineStr">
        <is>
          <t>Penelope Yilmaz</t>
        </is>
      </c>
      <c r="E493" s="6" t="inlineStr">
        <is>
          <t>UK</t>
        </is>
      </c>
      <c r="F493" s="6" t="inlineStr">
        <is>
          <t>Smartphone Case</t>
        </is>
      </c>
      <c r="G493" s="6" t="inlineStr">
        <is>
          <t>Electronics</t>
        </is>
      </c>
      <c r="H493" s="6" t="n">
        <v>3</v>
      </c>
      <c r="I493" s="8" t="n">
        <v>19.41</v>
      </c>
      <c r="J493" s="9" t="n">
        <v>0.1</v>
      </c>
      <c r="K493" s="8">
        <f>H493*I493*(1-J493)</f>
        <v/>
      </c>
      <c r="L493" s="6" t="inlineStr">
        <is>
          <t>PayPal</t>
        </is>
      </c>
    </row>
    <row r="494">
      <c r="A494" s="2" t="inlineStr">
        <is>
          <t>ORD-00493</t>
        </is>
      </c>
      <c r="B494" s="3" t="n">
        <v>45601</v>
      </c>
      <c r="C494" s="2" t="inlineStr">
        <is>
          <t>CUST-0102</t>
        </is>
      </c>
      <c r="D494" s="2" t="inlineStr">
        <is>
          <t>Ahmed Jackson</t>
        </is>
      </c>
      <c r="E494" s="2" t="inlineStr">
        <is>
          <t>Germany</t>
        </is>
      </c>
      <c r="F494" s="2" t="inlineStr">
        <is>
          <t>Wool Scarf</t>
        </is>
      </c>
      <c r="G494" s="2" t="inlineStr">
        <is>
          <t>Clothing</t>
        </is>
      </c>
      <c r="H494" s="2" t="n">
        <v>3</v>
      </c>
      <c r="I494" s="4" t="n">
        <v>41.62</v>
      </c>
      <c r="J494" s="5" t="n">
        <v>0.25</v>
      </c>
      <c r="K494" s="4">
        <f>H494*I494*(1-J494)</f>
        <v/>
      </c>
      <c r="L494" s="2" t="inlineStr">
        <is>
          <t>Bank Transfer</t>
        </is>
      </c>
    </row>
    <row r="495">
      <c r="A495" s="6" t="inlineStr">
        <is>
          <t>ORD-00494</t>
        </is>
      </c>
      <c r="B495" s="7" t="n">
        <v>45602</v>
      </c>
      <c r="C495" s="6" t="inlineStr">
        <is>
          <t>CUST-0034</t>
        </is>
      </c>
      <c r="D495" s="6" t="inlineStr">
        <is>
          <t>Ayse Schmidt</t>
        </is>
      </c>
      <c r="E495" s="6" t="inlineStr">
        <is>
          <t>Turkey</t>
        </is>
      </c>
      <c r="F495" s="6" t="inlineStr">
        <is>
          <t>Cooking Masterclass</t>
        </is>
      </c>
      <c r="G495" s="6" t="inlineStr">
        <is>
          <t>Books</t>
        </is>
      </c>
      <c r="H495" s="6" t="n">
        <v>4</v>
      </c>
      <c r="I495" s="8" t="n">
        <v>41.54</v>
      </c>
      <c r="J495" s="9" t="n">
        <v>0.1</v>
      </c>
      <c r="K495" s="8">
        <f>H495*I495*(1-J495)</f>
        <v/>
      </c>
      <c r="L495" s="6" t="inlineStr">
        <is>
          <t>PayPal</t>
        </is>
      </c>
    </row>
    <row r="496">
      <c r="A496" s="2" t="inlineStr">
        <is>
          <t>ORD-00495</t>
        </is>
      </c>
      <c r="B496" s="3" t="n">
        <v>45603</v>
      </c>
      <c r="C496" s="2" t="inlineStr">
        <is>
          <t>CUST-0073</t>
        </is>
      </c>
      <c r="D496" s="2" t="inlineStr">
        <is>
          <t>Noah Ozturk</t>
        </is>
      </c>
      <c r="E496" s="2" t="inlineStr">
        <is>
          <t>USA</t>
        </is>
      </c>
      <c r="F496" s="2" t="inlineStr">
        <is>
          <t>Cotton T-Shirt</t>
        </is>
      </c>
      <c r="G496" s="2" t="inlineStr">
        <is>
          <t>Clothing</t>
        </is>
      </c>
      <c r="H496" s="2" t="n">
        <v>2</v>
      </c>
      <c r="I496" s="4" t="n">
        <v>15.98</v>
      </c>
      <c r="J496" s="5" t="n">
        <v>0.15</v>
      </c>
      <c r="K496" s="4">
        <f>H496*I496*(1-J496)</f>
        <v/>
      </c>
      <c r="L496" s="2" t="inlineStr">
        <is>
          <t>Credit Card</t>
        </is>
      </c>
    </row>
    <row r="497">
      <c r="A497" s="6" t="inlineStr">
        <is>
          <t>ORD-00496</t>
        </is>
      </c>
      <c r="B497" s="7" t="n">
        <v>45603</v>
      </c>
      <c r="C497" s="6" t="inlineStr">
        <is>
          <t>CUST-0068</t>
        </is>
      </c>
      <c r="D497" s="6" t="inlineStr">
        <is>
          <t>Amelia Moore</t>
        </is>
      </c>
      <c r="E497" s="6" t="inlineStr">
        <is>
          <t>USA</t>
        </is>
      </c>
      <c r="F497" s="6" t="inlineStr">
        <is>
          <t>Power Bank</t>
        </is>
      </c>
      <c r="G497" s="6" t="inlineStr">
        <is>
          <t>Electronics</t>
        </is>
      </c>
      <c r="H497" s="6" t="n">
        <v>4</v>
      </c>
      <c r="I497" s="8" t="n">
        <v>27.39</v>
      </c>
      <c r="J497" s="9" t="n">
        <v>0</v>
      </c>
      <c r="K497" s="8">
        <f>H497*I497*(1-J497)</f>
        <v/>
      </c>
      <c r="L497" s="6" t="inlineStr">
        <is>
          <t>Credit Card</t>
        </is>
      </c>
    </row>
    <row r="498">
      <c r="A498" s="2" t="inlineStr">
        <is>
          <t>ORD-00497</t>
        </is>
      </c>
      <c r="B498" s="3" t="n">
        <v>45603</v>
      </c>
      <c r="C498" s="2" t="inlineStr">
        <is>
          <t>CUST-0082</t>
        </is>
      </c>
      <c r="D498" s="2" t="inlineStr">
        <is>
          <t>Oliver Jackson</t>
        </is>
      </c>
      <c r="E498" s="2" t="inlineStr">
        <is>
          <t>USA</t>
        </is>
      </c>
      <c r="F498" s="2" t="inlineStr">
        <is>
          <t>Gym Bag</t>
        </is>
      </c>
      <c r="G498" s="2" t="inlineStr">
        <is>
          <t>Sports</t>
        </is>
      </c>
      <c r="H498" s="2" t="n">
        <v>2</v>
      </c>
      <c r="I498" s="4" t="n">
        <v>25.75</v>
      </c>
      <c r="J498" s="5" t="n">
        <v>0</v>
      </c>
      <c r="K498" s="4">
        <f>H498*I498*(1-J498)</f>
        <v/>
      </c>
      <c r="L498" s="2" t="inlineStr">
        <is>
          <t>Bank Transfer</t>
        </is>
      </c>
    </row>
    <row r="499">
      <c r="A499" s="6" t="inlineStr">
        <is>
          <t>ORD-00498</t>
        </is>
      </c>
      <c r="B499" s="7" t="n">
        <v>45604</v>
      </c>
      <c r="C499" s="6" t="inlineStr">
        <is>
          <t>CUST-0028</t>
        </is>
      </c>
      <c r="D499" s="6" t="inlineStr">
        <is>
          <t>Harper Chen</t>
        </is>
      </c>
      <c r="E499" s="6" t="inlineStr">
        <is>
          <t>France</t>
        </is>
      </c>
      <c r="F499" s="6" t="inlineStr">
        <is>
          <t>Yoga Mat</t>
        </is>
      </c>
      <c r="G499" s="6" t="inlineStr">
        <is>
          <t>Sports</t>
        </is>
      </c>
      <c r="H499" s="6" t="n">
        <v>1</v>
      </c>
      <c r="I499" s="8" t="n">
        <v>21.44</v>
      </c>
      <c r="J499" s="9" t="n">
        <v>0.05</v>
      </c>
      <c r="K499" s="8">
        <f>H499*I499*(1-J499)</f>
        <v/>
      </c>
      <c r="L499" s="6" t="inlineStr">
        <is>
          <t>Credit Card</t>
        </is>
      </c>
    </row>
    <row r="500">
      <c r="A500" s="2" t="inlineStr">
        <is>
          <t>ORD-00499</t>
        </is>
      </c>
      <c r="B500" s="3" t="n">
        <v>45605</v>
      </c>
      <c r="C500" s="2" t="inlineStr">
        <is>
          <t>CUST-0134</t>
        </is>
      </c>
      <c r="D500" s="2" t="inlineStr">
        <is>
          <t>Oliver Yilmaz</t>
        </is>
      </c>
      <c r="E500" s="2" t="inlineStr">
        <is>
          <t>Turkey</t>
        </is>
      </c>
      <c r="F500" s="2" t="inlineStr">
        <is>
          <t>Wool Scarf</t>
        </is>
      </c>
      <c r="G500" s="2" t="inlineStr">
        <is>
          <t>Clothing</t>
        </is>
      </c>
      <c r="H500" s="2" t="n">
        <v>2</v>
      </c>
      <c r="I500" s="4" t="n">
        <v>37.51</v>
      </c>
      <c r="J500" s="5" t="n">
        <v>0.15</v>
      </c>
      <c r="K500" s="4">
        <f>H500*I500*(1-J500)</f>
        <v/>
      </c>
      <c r="L500" s="2" t="inlineStr">
        <is>
          <t>Credit Card</t>
        </is>
      </c>
    </row>
    <row r="501">
      <c r="A501" s="6" t="inlineStr">
        <is>
          <t>ORD-00500</t>
        </is>
      </c>
      <c r="B501" s="7" t="n">
        <v>45606</v>
      </c>
      <c r="C501" s="6" t="inlineStr">
        <is>
          <t>CUST-0044</t>
        </is>
      </c>
      <c r="D501" s="6" t="inlineStr">
        <is>
          <t>Penelope Demir</t>
        </is>
      </c>
      <c r="E501" s="6" t="inlineStr">
        <is>
          <t>USA</t>
        </is>
      </c>
      <c r="F501" s="6" t="inlineStr">
        <is>
          <t>Winter Jacket</t>
        </is>
      </c>
      <c r="G501" s="6" t="inlineStr">
        <is>
          <t>Clothing</t>
        </is>
      </c>
      <c r="H501" s="6" t="n">
        <v>1</v>
      </c>
      <c r="I501" s="8" t="n">
        <v>146.4</v>
      </c>
      <c r="J501" s="9" t="n">
        <v>0.1</v>
      </c>
      <c r="K501" s="8">
        <f>H501*I501*(1-J501)</f>
        <v/>
      </c>
      <c r="L501" s="6" t="inlineStr">
        <is>
          <t>Credit Card</t>
        </is>
      </c>
    </row>
    <row r="502">
      <c r="A502" s="2" t="inlineStr">
        <is>
          <t>ORD-00501</t>
        </is>
      </c>
      <c r="B502" s="3" t="n">
        <v>45607</v>
      </c>
      <c r="C502" s="2" t="inlineStr">
        <is>
          <t>CUST-0056</t>
        </is>
      </c>
      <c r="D502" s="2" t="inlineStr">
        <is>
          <t>Klaus Harris</t>
        </is>
      </c>
      <c r="E502" s="2" t="inlineStr">
        <is>
          <t>Germany</t>
        </is>
      </c>
      <c r="F502" s="2" t="inlineStr">
        <is>
          <t>Gym Bag</t>
        </is>
      </c>
      <c r="G502" s="2" t="inlineStr">
        <is>
          <t>Sports</t>
        </is>
      </c>
      <c r="H502" s="2" t="n">
        <v>4</v>
      </c>
      <c r="I502" s="4" t="n">
        <v>47.63</v>
      </c>
      <c r="J502" s="5" t="n">
        <v>0</v>
      </c>
      <c r="K502" s="4">
        <f>H502*I502*(1-J502)</f>
        <v/>
      </c>
      <c r="L502" s="2" t="inlineStr">
        <is>
          <t>Credit Card</t>
        </is>
      </c>
    </row>
    <row r="503">
      <c r="A503" s="6" t="inlineStr">
        <is>
          <t>ORD-00502</t>
        </is>
      </c>
      <c r="B503" s="7" t="n">
        <v>45609</v>
      </c>
      <c r="C503" s="6" t="inlineStr">
        <is>
          <t>CUST-0124</t>
        </is>
      </c>
      <c r="D503" s="6" t="inlineStr">
        <is>
          <t>Harper Williams</t>
        </is>
      </c>
      <c r="E503" s="6" t="inlineStr">
        <is>
          <t>USA</t>
        </is>
      </c>
      <c r="F503" s="6" t="inlineStr">
        <is>
          <t>Yoga Mat</t>
        </is>
      </c>
      <c r="G503" s="6" t="inlineStr">
        <is>
          <t>Sports</t>
        </is>
      </c>
      <c r="H503" s="6" t="n">
        <v>2</v>
      </c>
      <c r="I503" s="8" t="n">
        <v>20.19</v>
      </c>
      <c r="J503" s="9" t="n">
        <v>0</v>
      </c>
      <c r="K503" s="8">
        <f>H503*I503*(1-J503)</f>
        <v/>
      </c>
      <c r="L503" s="6" t="inlineStr">
        <is>
          <t>Credit Card</t>
        </is>
      </c>
    </row>
    <row r="504">
      <c r="A504" s="2" t="inlineStr">
        <is>
          <t>ORD-00503</t>
        </is>
      </c>
      <c r="B504" s="3" t="n">
        <v>45611</v>
      </c>
      <c r="C504" s="2" t="inlineStr">
        <is>
          <t>CUST-0098</t>
        </is>
      </c>
      <c r="D504" s="2" t="inlineStr">
        <is>
          <t>Hans Demir</t>
        </is>
      </c>
      <c r="E504" s="2" t="inlineStr">
        <is>
          <t>USA</t>
        </is>
      </c>
      <c r="F504" s="2" t="inlineStr">
        <is>
          <t>Winter Jacket</t>
        </is>
      </c>
      <c r="G504" s="2" t="inlineStr">
        <is>
          <t>Clothing</t>
        </is>
      </c>
      <c r="H504" s="2" t="n">
        <v>1</v>
      </c>
      <c r="I504" s="4" t="n">
        <v>138.07</v>
      </c>
      <c r="J504" s="5" t="n">
        <v>0</v>
      </c>
      <c r="K504" s="4">
        <f>H504*I504*(1-J504)</f>
        <v/>
      </c>
      <c r="L504" s="2" t="inlineStr">
        <is>
          <t>PayPal</t>
        </is>
      </c>
    </row>
    <row r="505">
      <c r="A505" s="6" t="inlineStr">
        <is>
          <t>ORD-00504</t>
        </is>
      </c>
      <c r="B505" s="7" t="n">
        <v>45611</v>
      </c>
      <c r="C505" s="6" t="inlineStr">
        <is>
          <t>CUST-0091</t>
        </is>
      </c>
      <c r="D505" s="6" t="inlineStr">
        <is>
          <t>James Mueller</t>
        </is>
      </c>
      <c r="E505" s="6" t="inlineStr">
        <is>
          <t>USA</t>
        </is>
      </c>
      <c r="F505" s="6" t="inlineStr">
        <is>
          <t>Wireless Headphones</t>
        </is>
      </c>
      <c r="G505" s="6" t="inlineStr">
        <is>
          <t>Electronics</t>
        </is>
      </c>
      <c r="H505" s="6" t="n">
        <v>2</v>
      </c>
      <c r="I505" s="8" t="n">
        <v>84.89</v>
      </c>
      <c r="J505" s="9" t="n">
        <v>0</v>
      </c>
      <c r="K505" s="8">
        <f>H505*I505*(1-J505)</f>
        <v/>
      </c>
      <c r="L505" s="6" t="inlineStr">
        <is>
          <t>Credit Card</t>
        </is>
      </c>
    </row>
    <row r="506">
      <c r="A506" s="2" t="inlineStr">
        <is>
          <t>ORD-00505</t>
        </is>
      </c>
      <c r="B506" s="3" t="n">
        <v>45612</v>
      </c>
      <c r="C506" s="2" t="inlineStr">
        <is>
          <t>CUST-0025</t>
        </is>
      </c>
      <c r="D506" s="2" t="inlineStr">
        <is>
          <t>Sarah Park</t>
        </is>
      </c>
      <c r="E506" s="2" t="inlineStr">
        <is>
          <t>USA</t>
        </is>
      </c>
      <c r="F506" s="2" t="inlineStr">
        <is>
          <t>USB-C Hub</t>
        </is>
      </c>
      <c r="G506" s="2" t="inlineStr">
        <is>
          <t>Electronics</t>
        </is>
      </c>
      <c r="H506" s="2" t="n">
        <v>4</v>
      </c>
      <c r="I506" s="4" t="n">
        <v>41.7</v>
      </c>
      <c r="J506" s="5" t="n">
        <v>0</v>
      </c>
      <c r="K506" s="4">
        <f>H506*I506*(1-J506)</f>
        <v/>
      </c>
      <c r="L506" s="2" t="inlineStr">
        <is>
          <t>Credit Card</t>
        </is>
      </c>
    </row>
    <row r="507">
      <c r="A507" s="6" t="inlineStr">
        <is>
          <t>ORD-00506</t>
        </is>
      </c>
      <c r="B507" s="7" t="n">
        <v>45613</v>
      </c>
      <c r="C507" s="6" t="inlineStr">
        <is>
          <t>CUST-0051</t>
        </is>
      </c>
      <c r="D507" s="6" t="inlineStr">
        <is>
          <t>Thomas Anderson</t>
        </is>
      </c>
      <c r="E507" s="6" t="inlineStr">
        <is>
          <t>Germany</t>
        </is>
      </c>
      <c r="F507" s="6" t="inlineStr">
        <is>
          <t>Cotton T-Shirt</t>
        </is>
      </c>
      <c r="G507" s="6" t="inlineStr">
        <is>
          <t>Clothing</t>
        </is>
      </c>
      <c r="H507" s="6" t="n">
        <v>4</v>
      </c>
      <c r="I507" s="8" t="n">
        <v>33.97</v>
      </c>
      <c r="J507" s="9" t="n">
        <v>0.1</v>
      </c>
      <c r="K507" s="8">
        <f>H507*I507*(1-J507)</f>
        <v/>
      </c>
      <c r="L507" s="6" t="inlineStr">
        <is>
          <t>PayPal</t>
        </is>
      </c>
    </row>
    <row r="508">
      <c r="A508" s="2" t="inlineStr">
        <is>
          <t>ORD-00507</t>
        </is>
      </c>
      <c r="B508" s="3" t="n">
        <v>45615</v>
      </c>
      <c r="C508" s="2" t="inlineStr">
        <is>
          <t>CUST-0079</t>
        </is>
      </c>
      <c r="D508" s="2" t="inlineStr">
        <is>
          <t>Penelope Brown</t>
        </is>
      </c>
      <c r="E508" s="2" t="inlineStr">
        <is>
          <t>France</t>
        </is>
      </c>
      <c r="F508" s="2" t="inlineStr">
        <is>
          <t>Fitness Tracker</t>
        </is>
      </c>
      <c r="G508" s="2" t="inlineStr">
        <is>
          <t>Sports</t>
        </is>
      </c>
      <c r="H508" s="2" t="n">
        <v>1</v>
      </c>
      <c r="I508" s="4" t="n">
        <v>42.71</v>
      </c>
      <c r="J508" s="5" t="n">
        <v>0</v>
      </c>
      <c r="K508" s="4">
        <f>H508*I508*(1-J508)</f>
        <v/>
      </c>
      <c r="L508" s="2" t="inlineStr">
        <is>
          <t>Credit Card</t>
        </is>
      </c>
    </row>
    <row r="509">
      <c r="A509" s="6" t="inlineStr">
        <is>
          <t>ORD-00508</t>
        </is>
      </c>
      <c r="B509" s="7" t="n">
        <v>45615</v>
      </c>
      <c r="C509" s="6" t="inlineStr">
        <is>
          <t>CUST-0032</t>
        </is>
      </c>
      <c r="D509" s="6" t="inlineStr">
        <is>
          <t>Noah Thomas</t>
        </is>
      </c>
      <c r="E509" s="6" t="inlineStr">
        <is>
          <t>Canada</t>
        </is>
      </c>
      <c r="F509" s="6" t="inlineStr">
        <is>
          <t>Fitness Tracker</t>
        </is>
      </c>
      <c r="G509" s="6" t="inlineStr">
        <is>
          <t>Sports</t>
        </is>
      </c>
      <c r="H509" s="6" t="n">
        <v>2</v>
      </c>
      <c r="I509" s="8" t="n">
        <v>52.86</v>
      </c>
      <c r="J509" s="9" t="n">
        <v>0.05</v>
      </c>
      <c r="K509" s="8">
        <f>H509*I509*(1-J509)</f>
        <v/>
      </c>
      <c r="L509" s="6" t="inlineStr">
        <is>
          <t>Bank Transfer</t>
        </is>
      </c>
    </row>
    <row r="510">
      <c r="A510" s="2" t="inlineStr">
        <is>
          <t>ORD-00509</t>
        </is>
      </c>
      <c r="B510" s="3" t="n">
        <v>45616</v>
      </c>
      <c r="C510" s="2" t="inlineStr">
        <is>
          <t>CUST-0128</t>
        </is>
      </c>
      <c r="D510" s="2" t="inlineStr">
        <is>
          <t>Sophia Jones</t>
        </is>
      </c>
      <c r="E510" s="2" t="inlineStr">
        <is>
          <t>Canada</t>
        </is>
      </c>
      <c r="F510" s="2" t="inlineStr">
        <is>
          <t>Laptop Stand</t>
        </is>
      </c>
      <c r="G510" s="2" t="inlineStr">
        <is>
          <t>Electronics</t>
        </is>
      </c>
      <c r="H510" s="2" t="n">
        <v>2</v>
      </c>
      <c r="I510" s="4" t="n">
        <v>27.25</v>
      </c>
      <c r="J510" s="5" t="n">
        <v>0.1</v>
      </c>
      <c r="K510" s="4">
        <f>H510*I510*(1-J510)</f>
        <v/>
      </c>
      <c r="L510" s="2" t="inlineStr">
        <is>
          <t>PayPal</t>
        </is>
      </c>
    </row>
    <row r="511">
      <c r="A511" s="6" t="inlineStr">
        <is>
          <t>ORD-00510</t>
        </is>
      </c>
      <c r="B511" s="7" t="n">
        <v>45616</v>
      </c>
      <c r="C511" s="6" t="inlineStr">
        <is>
          <t>CUST-0131</t>
        </is>
      </c>
      <c r="D511" s="6" t="inlineStr">
        <is>
          <t>Scarlett Rodriguez</t>
        </is>
      </c>
      <c r="E511" s="6" t="inlineStr">
        <is>
          <t>USA</t>
        </is>
      </c>
      <c r="F511" s="6" t="inlineStr">
        <is>
          <t>Wall Clock</t>
        </is>
      </c>
      <c r="G511" s="6" t="inlineStr">
        <is>
          <t>Home &amp; Garden</t>
        </is>
      </c>
      <c r="H511" s="6" t="n">
        <v>1</v>
      </c>
      <c r="I511" s="8" t="n">
        <v>33.4</v>
      </c>
      <c r="J511" s="9" t="n">
        <v>0.1</v>
      </c>
      <c r="K511" s="8">
        <f>H511*I511*(1-J511)</f>
        <v/>
      </c>
      <c r="L511" s="6" t="inlineStr">
        <is>
          <t>Credit Card</t>
        </is>
      </c>
    </row>
    <row r="512">
      <c r="A512" s="2" t="inlineStr">
        <is>
          <t>ORD-00511</t>
        </is>
      </c>
      <c r="B512" s="3" t="n">
        <v>45617</v>
      </c>
      <c r="C512" s="2" t="inlineStr">
        <is>
          <t>CUST-0137</t>
        </is>
      </c>
      <c r="D512" s="2" t="inlineStr">
        <is>
          <t>Mia Dupont</t>
        </is>
      </c>
      <c r="E512" s="2" t="inlineStr">
        <is>
          <t>USA</t>
        </is>
      </c>
      <c r="F512" s="2" t="inlineStr">
        <is>
          <t>Running Shoes</t>
        </is>
      </c>
      <c r="G512" s="2" t="inlineStr">
        <is>
          <t>Clothing</t>
        </is>
      </c>
      <c r="H512" s="2" t="n">
        <v>4</v>
      </c>
      <c r="I512" s="4" t="n">
        <v>103.87</v>
      </c>
      <c r="J512" s="5" t="n">
        <v>0.05</v>
      </c>
      <c r="K512" s="4">
        <f>H512*I512*(1-J512)</f>
        <v/>
      </c>
      <c r="L512" s="2" t="inlineStr">
        <is>
          <t>Credit Card</t>
        </is>
      </c>
    </row>
    <row r="513">
      <c r="A513" s="6" t="inlineStr">
        <is>
          <t>ORD-00512</t>
        </is>
      </c>
      <c r="B513" s="7" t="n">
        <v>45617</v>
      </c>
      <c r="C513" s="6" t="inlineStr">
        <is>
          <t>CUST-0102</t>
        </is>
      </c>
      <c r="D513" s="6" t="inlineStr">
        <is>
          <t>Ahmed Jackson</t>
        </is>
      </c>
      <c r="E513" s="6" t="inlineStr">
        <is>
          <t>Germany</t>
        </is>
      </c>
      <c r="F513" s="6" t="inlineStr">
        <is>
          <t>Cooking Masterclass</t>
        </is>
      </c>
      <c r="G513" s="6" t="inlineStr">
        <is>
          <t>Books</t>
        </is>
      </c>
      <c r="H513" s="6" t="n">
        <v>3</v>
      </c>
      <c r="I513" s="8" t="n">
        <v>32.31</v>
      </c>
      <c r="J513" s="9" t="n">
        <v>0</v>
      </c>
      <c r="K513" s="8">
        <f>H513*I513*(1-J513)</f>
        <v/>
      </c>
      <c r="L513" s="6" t="inlineStr">
        <is>
          <t>Credit Card</t>
        </is>
      </c>
    </row>
    <row r="514">
      <c r="A514" s="2" t="inlineStr">
        <is>
          <t>ORD-00513</t>
        </is>
      </c>
      <c r="B514" s="3" t="n">
        <v>45618</v>
      </c>
      <c r="C514" s="2" t="inlineStr">
        <is>
          <t>CUST-0060</t>
        </is>
      </c>
      <c r="D514" s="2" t="inlineStr">
        <is>
          <t>Ayse Jones</t>
        </is>
      </c>
      <c r="E514" s="2" t="inlineStr">
        <is>
          <t>Canada</t>
        </is>
      </c>
      <c r="F514" s="2" t="inlineStr">
        <is>
          <t>Throw Pillow</t>
        </is>
      </c>
      <c r="G514" s="2" t="inlineStr">
        <is>
          <t>Home &amp; Garden</t>
        </is>
      </c>
      <c r="H514" s="2" t="n">
        <v>2</v>
      </c>
      <c r="I514" s="4" t="n">
        <v>32.67</v>
      </c>
      <c r="J514" s="5" t="n">
        <v>0.2</v>
      </c>
      <c r="K514" s="4">
        <f>H514*I514*(1-J514)</f>
        <v/>
      </c>
      <c r="L514" s="2" t="inlineStr">
        <is>
          <t>Credit Card</t>
        </is>
      </c>
    </row>
    <row r="515">
      <c r="A515" s="6" t="inlineStr">
        <is>
          <t>ORD-00514</t>
        </is>
      </c>
      <c r="B515" s="7" t="n">
        <v>45619</v>
      </c>
      <c r="C515" s="6" t="inlineStr">
        <is>
          <t>CUST-0099</t>
        </is>
      </c>
      <c r="D515" s="6" t="inlineStr">
        <is>
          <t>Hans Garcia</t>
        </is>
      </c>
      <c r="E515" s="6" t="inlineStr">
        <is>
          <t>Turkey</t>
        </is>
      </c>
      <c r="F515" s="6" t="inlineStr">
        <is>
          <t>Wireless Headphones</t>
        </is>
      </c>
      <c r="G515" s="6" t="inlineStr">
        <is>
          <t>Electronics</t>
        </is>
      </c>
      <c r="H515" s="6" t="n">
        <v>4</v>
      </c>
      <c r="I515" s="8" t="n">
        <v>50.92</v>
      </c>
      <c r="J515" s="9" t="n">
        <v>0.05</v>
      </c>
      <c r="K515" s="8">
        <f>H515*I515*(1-J515)</f>
        <v/>
      </c>
      <c r="L515" s="6" t="inlineStr">
        <is>
          <t>Credit Card</t>
        </is>
      </c>
    </row>
    <row r="516">
      <c r="A516" s="2" t="inlineStr">
        <is>
          <t>ORD-00515</t>
        </is>
      </c>
      <c r="B516" s="3" t="n">
        <v>45620</v>
      </c>
      <c r="C516" s="2" t="inlineStr">
        <is>
          <t>CUST-0081</t>
        </is>
      </c>
      <c r="D516" s="2" t="inlineStr">
        <is>
          <t>David Clark</t>
        </is>
      </c>
      <c r="E516" s="2" t="inlineStr">
        <is>
          <t>Turkey</t>
        </is>
      </c>
      <c r="F516" s="2" t="inlineStr">
        <is>
          <t>Cotton T-Shirt</t>
        </is>
      </c>
      <c r="G516" s="2" t="inlineStr">
        <is>
          <t>Clothing</t>
        </is>
      </c>
      <c r="H516" s="2" t="n">
        <v>3</v>
      </c>
      <c r="I516" s="4" t="n">
        <v>16.89</v>
      </c>
      <c r="J516" s="5" t="n">
        <v>0</v>
      </c>
      <c r="K516" s="4">
        <f>H516*I516*(1-J516)</f>
        <v/>
      </c>
      <c r="L516" s="2" t="inlineStr">
        <is>
          <t>Bank Transfer</t>
        </is>
      </c>
    </row>
    <row r="517">
      <c r="A517" s="6" t="inlineStr">
        <is>
          <t>ORD-00516</t>
        </is>
      </c>
      <c r="B517" s="7" t="n">
        <v>45621</v>
      </c>
      <c r="C517" s="6" t="inlineStr">
        <is>
          <t>CUST-0036</t>
        </is>
      </c>
      <c r="D517" s="6" t="inlineStr">
        <is>
          <t>Elijah Jackson</t>
        </is>
      </c>
      <c r="E517" s="6" t="inlineStr">
        <is>
          <t>France</t>
        </is>
      </c>
      <c r="F517" s="6" t="inlineStr">
        <is>
          <t>Wall Clock</t>
        </is>
      </c>
      <c r="G517" s="6" t="inlineStr">
        <is>
          <t>Home &amp; Garden</t>
        </is>
      </c>
      <c r="H517" s="6" t="n">
        <v>1</v>
      </c>
      <c r="I517" s="8" t="n">
        <v>39.38</v>
      </c>
      <c r="J517" s="9" t="n">
        <v>0.05</v>
      </c>
      <c r="K517" s="8">
        <f>H517*I517*(1-J517)</f>
        <v/>
      </c>
      <c r="L517" s="6" t="inlineStr">
        <is>
          <t>PayPal</t>
        </is>
      </c>
    </row>
    <row r="518">
      <c r="A518" s="2" t="inlineStr">
        <is>
          <t>ORD-00517</t>
        </is>
      </c>
      <c r="B518" s="3" t="n">
        <v>45621</v>
      </c>
      <c r="C518" s="2" t="inlineStr">
        <is>
          <t>CUST-0099</t>
        </is>
      </c>
      <c r="D518" s="2" t="inlineStr">
        <is>
          <t>Hans Garcia</t>
        </is>
      </c>
      <c r="E518" s="2" t="inlineStr">
        <is>
          <t>Turkey</t>
        </is>
      </c>
      <c r="F518" s="2" t="inlineStr">
        <is>
          <t>Leather Belt</t>
        </is>
      </c>
      <c r="G518" s="2" t="inlineStr">
        <is>
          <t>Clothing</t>
        </is>
      </c>
      <c r="H518" s="2" t="n">
        <v>5</v>
      </c>
      <c r="I518" s="4" t="n">
        <v>50.54</v>
      </c>
      <c r="J518" s="5" t="n">
        <v>0.1</v>
      </c>
      <c r="K518" s="4">
        <f>H518*I518*(1-J518)</f>
        <v/>
      </c>
      <c r="L518" s="2" t="inlineStr">
        <is>
          <t>Credit Card</t>
        </is>
      </c>
    </row>
    <row r="519">
      <c r="A519" s="6" t="inlineStr">
        <is>
          <t>ORD-00518</t>
        </is>
      </c>
      <c r="B519" s="7" t="n">
        <v>45622</v>
      </c>
      <c r="C519" s="6" t="inlineStr">
        <is>
          <t>CUST-0041</t>
        </is>
      </c>
      <c r="D519" s="6" t="inlineStr">
        <is>
          <t>Isabella Chen</t>
        </is>
      </c>
      <c r="E519" s="6" t="inlineStr">
        <is>
          <t>USA</t>
        </is>
      </c>
      <c r="F519" s="6" t="inlineStr">
        <is>
          <t>Data Science Handbook</t>
        </is>
      </c>
      <c r="G519" s="6" t="inlineStr">
        <is>
          <t>Books</t>
        </is>
      </c>
      <c r="H519" s="6" t="n">
        <v>2</v>
      </c>
      <c r="I519" s="8" t="n">
        <v>56.21</v>
      </c>
      <c r="J519" s="9" t="n">
        <v>0.05</v>
      </c>
      <c r="K519" s="8">
        <f>H519*I519*(1-J519)</f>
        <v/>
      </c>
      <c r="L519" s="6" t="inlineStr">
        <is>
          <t>Credit Card</t>
        </is>
      </c>
    </row>
    <row r="520">
      <c r="A520" s="2" t="inlineStr">
        <is>
          <t>ORD-00519</t>
        </is>
      </c>
      <c r="B520" s="3" t="n">
        <v>45624</v>
      </c>
      <c r="C520" s="2" t="inlineStr">
        <is>
          <t>CUST-0063</t>
        </is>
      </c>
      <c r="D520" s="2" t="inlineStr">
        <is>
          <t>Marie Tremblay</t>
        </is>
      </c>
      <c r="E520" s="2" t="inlineStr">
        <is>
          <t>UK</t>
        </is>
      </c>
      <c r="F520" s="2" t="inlineStr">
        <is>
          <t>Smartphone Case</t>
        </is>
      </c>
      <c r="G520" s="2" t="inlineStr">
        <is>
          <t>Electronics</t>
        </is>
      </c>
      <c r="H520" s="2" t="n">
        <v>2</v>
      </c>
      <c r="I520" s="4" t="n">
        <v>13.81</v>
      </c>
      <c r="J520" s="5" t="n">
        <v>0.05</v>
      </c>
      <c r="K520" s="4">
        <f>H520*I520*(1-J520)</f>
        <v/>
      </c>
      <c r="L520" s="2" t="inlineStr">
        <is>
          <t>Credit Card</t>
        </is>
      </c>
    </row>
    <row r="521">
      <c r="A521" s="6" t="inlineStr">
        <is>
          <t>ORD-00520</t>
        </is>
      </c>
      <c r="B521" s="7" t="n">
        <v>45624</v>
      </c>
      <c r="C521" s="6" t="inlineStr">
        <is>
          <t>CUST-0008</t>
        </is>
      </c>
      <c r="D521" s="6" t="inlineStr">
        <is>
          <t>William Fischer</t>
        </is>
      </c>
      <c r="E521" s="6" t="inlineStr">
        <is>
          <t>UK</t>
        </is>
      </c>
      <c r="F521" s="6" t="inlineStr">
        <is>
          <t>Smart Watch Band</t>
        </is>
      </c>
      <c r="G521" s="6" t="inlineStr">
        <is>
          <t>Electronics</t>
        </is>
      </c>
      <c r="H521" s="6" t="n">
        <v>1</v>
      </c>
      <c r="I521" s="8" t="n">
        <v>26.06</v>
      </c>
      <c r="J521" s="9" t="n">
        <v>0.15</v>
      </c>
      <c r="K521" s="8">
        <f>H521*I521*(1-J521)</f>
        <v/>
      </c>
      <c r="L521" s="6" t="inlineStr">
        <is>
          <t>PayPal</t>
        </is>
      </c>
    </row>
    <row r="522">
      <c r="A522" s="2" t="inlineStr">
        <is>
          <t>ORD-00521</t>
        </is>
      </c>
      <c r="B522" s="3" t="n">
        <v>45626</v>
      </c>
      <c r="C522" s="2" t="inlineStr">
        <is>
          <t>CUST-0045</t>
        </is>
      </c>
      <c r="D522" s="2" t="inlineStr">
        <is>
          <t>Sophie Smith</t>
        </is>
      </c>
      <c r="E522" s="2" t="inlineStr">
        <is>
          <t>France</t>
        </is>
      </c>
      <c r="F522" s="2" t="inlineStr">
        <is>
          <t>Yoga Mat</t>
        </is>
      </c>
      <c r="G522" s="2" t="inlineStr">
        <is>
          <t>Sports</t>
        </is>
      </c>
      <c r="H522" s="2" t="n">
        <v>1</v>
      </c>
      <c r="I522" s="4" t="n">
        <v>20.49</v>
      </c>
      <c r="J522" s="5" t="n">
        <v>0</v>
      </c>
      <c r="K522" s="4">
        <f>H522*I522*(1-J522)</f>
        <v/>
      </c>
      <c r="L522" s="2" t="inlineStr">
        <is>
          <t>Credit Card</t>
        </is>
      </c>
    </row>
    <row r="523">
      <c r="A523" s="6" t="inlineStr">
        <is>
          <t>ORD-00522</t>
        </is>
      </c>
      <c r="B523" s="7" t="n">
        <v>45628</v>
      </c>
      <c r="C523" s="6" t="inlineStr">
        <is>
          <t>CUST-0135</t>
        </is>
      </c>
      <c r="D523" s="6" t="inlineStr">
        <is>
          <t>Michael Roy</t>
        </is>
      </c>
      <c r="E523" s="6" t="inlineStr">
        <is>
          <t>France</t>
        </is>
      </c>
      <c r="F523" s="6" t="inlineStr">
        <is>
          <t>Power Bank</t>
        </is>
      </c>
      <c r="G523" s="6" t="inlineStr">
        <is>
          <t>Electronics</t>
        </is>
      </c>
      <c r="H523" s="6" t="n">
        <v>1</v>
      </c>
      <c r="I523" s="8" t="n">
        <v>40.33</v>
      </c>
      <c r="J523" s="9" t="n">
        <v>0</v>
      </c>
      <c r="K523" s="8">
        <f>H523*I523*(1-J523)</f>
        <v/>
      </c>
      <c r="L523" s="6" t="inlineStr">
        <is>
          <t>Bank Transfer</t>
        </is>
      </c>
    </row>
    <row r="524">
      <c r="A524" s="2" t="inlineStr">
        <is>
          <t>ORD-00523</t>
        </is>
      </c>
      <c r="B524" s="3" t="n">
        <v>45628</v>
      </c>
      <c r="C524" s="2" t="inlineStr">
        <is>
          <t>CUST-0126</t>
        </is>
      </c>
      <c r="D524" s="2" t="inlineStr">
        <is>
          <t>Alexander Wilson</t>
        </is>
      </c>
      <c r="E524" s="2" t="inlineStr">
        <is>
          <t>France</t>
        </is>
      </c>
      <c r="F524" s="2" t="inlineStr">
        <is>
          <t>Winter Jacket</t>
        </is>
      </c>
      <c r="G524" s="2" t="inlineStr">
        <is>
          <t>Clothing</t>
        </is>
      </c>
      <c r="H524" s="2" t="n">
        <v>1</v>
      </c>
      <c r="I524" s="4" t="n">
        <v>109.09</v>
      </c>
      <c r="J524" s="5" t="n">
        <v>0</v>
      </c>
      <c r="K524" s="4">
        <f>H524*I524*(1-J524)</f>
        <v/>
      </c>
      <c r="L524" s="2" t="inlineStr">
        <is>
          <t>PayPal</t>
        </is>
      </c>
    </row>
    <row r="525">
      <c r="A525" s="6" t="inlineStr">
        <is>
          <t>ORD-00524</t>
        </is>
      </c>
      <c r="B525" s="7" t="n">
        <v>45628</v>
      </c>
      <c r="C525" s="6" t="inlineStr">
        <is>
          <t>CUST-0081</t>
        </is>
      </c>
      <c r="D525" s="6" t="inlineStr">
        <is>
          <t>David Clark</t>
        </is>
      </c>
      <c r="E525" s="6" t="inlineStr">
        <is>
          <t>Turkey</t>
        </is>
      </c>
      <c r="F525" s="6" t="inlineStr">
        <is>
          <t>Python Programming</t>
        </is>
      </c>
      <c r="G525" s="6" t="inlineStr">
        <is>
          <t>Books</t>
        </is>
      </c>
      <c r="H525" s="6" t="n">
        <v>1</v>
      </c>
      <c r="I525" s="8" t="n">
        <v>30.25</v>
      </c>
      <c r="J525" s="9" t="n">
        <v>0.1</v>
      </c>
      <c r="K525" s="8">
        <f>H525*I525*(1-J525)</f>
        <v/>
      </c>
      <c r="L525" s="6" t="inlineStr">
        <is>
          <t>PayPal</t>
        </is>
      </c>
    </row>
    <row r="526">
      <c r="A526" s="2" t="inlineStr">
        <is>
          <t>ORD-00525</t>
        </is>
      </c>
      <c r="B526" s="3" t="n">
        <v>45628</v>
      </c>
      <c r="C526" s="2" t="inlineStr">
        <is>
          <t>CUST-0109</t>
        </is>
      </c>
      <c r="D526" s="2" t="inlineStr">
        <is>
          <t>Thomas Jones</t>
        </is>
      </c>
      <c r="E526" s="2" t="inlineStr">
        <is>
          <t>USA</t>
        </is>
      </c>
      <c r="F526" s="2" t="inlineStr">
        <is>
          <t>Resistance Bands</t>
        </is>
      </c>
      <c r="G526" s="2" t="inlineStr">
        <is>
          <t>Sports</t>
        </is>
      </c>
      <c r="H526" s="2" t="n">
        <v>3</v>
      </c>
      <c r="I526" s="4" t="n">
        <v>20.75</v>
      </c>
      <c r="J526" s="5" t="n">
        <v>0.25</v>
      </c>
      <c r="K526" s="4">
        <f>H526*I526*(1-J526)</f>
        <v/>
      </c>
      <c r="L526" s="2" t="inlineStr">
        <is>
          <t>PayPal</t>
        </is>
      </c>
    </row>
    <row r="527">
      <c r="A527" s="6" t="inlineStr">
        <is>
          <t>ORD-00526</t>
        </is>
      </c>
      <c r="B527" s="7" t="n">
        <v>45629</v>
      </c>
      <c r="C527" s="6" t="inlineStr">
        <is>
          <t>CUST-0095</t>
        </is>
      </c>
      <c r="D527" s="6" t="inlineStr">
        <is>
          <t>Charlotte Brown</t>
        </is>
      </c>
      <c r="E527" s="6" t="inlineStr">
        <is>
          <t>Germany</t>
        </is>
      </c>
      <c r="F527" s="6" t="inlineStr">
        <is>
          <t>Wall Clock</t>
        </is>
      </c>
      <c r="G527" s="6" t="inlineStr">
        <is>
          <t>Home &amp; Garden</t>
        </is>
      </c>
      <c r="H527" s="6" t="n">
        <v>1</v>
      </c>
      <c r="I527" s="8" t="n">
        <v>30.75</v>
      </c>
      <c r="J527" s="9" t="n">
        <v>0</v>
      </c>
      <c r="K527" s="8">
        <f>H527*I527*(1-J527)</f>
        <v/>
      </c>
      <c r="L527" s="6" t="inlineStr">
        <is>
          <t>Credit Card</t>
        </is>
      </c>
    </row>
    <row r="528">
      <c r="A528" s="2" t="inlineStr">
        <is>
          <t>ORD-00527</t>
        </is>
      </c>
      <c r="B528" s="3" t="n">
        <v>45630</v>
      </c>
      <c r="C528" s="2" t="inlineStr">
        <is>
          <t>CUST-0035</t>
        </is>
      </c>
      <c r="D528" s="2" t="inlineStr">
        <is>
          <t>Claire Campbell</t>
        </is>
      </c>
      <c r="E528" s="2" t="inlineStr">
        <is>
          <t>USA</t>
        </is>
      </c>
      <c r="F528" s="2" t="inlineStr">
        <is>
          <t>Winter Jacket</t>
        </is>
      </c>
      <c r="G528" s="2" t="inlineStr">
        <is>
          <t>Clothing</t>
        </is>
      </c>
      <c r="H528" s="2" t="n">
        <v>1</v>
      </c>
      <c r="I528" s="4" t="n">
        <v>98.73</v>
      </c>
      <c r="J528" s="5" t="n">
        <v>0.2</v>
      </c>
      <c r="K528" s="4">
        <f>H528*I528*(1-J528)</f>
        <v/>
      </c>
      <c r="L528" s="2" t="inlineStr">
        <is>
          <t>Bank Transfer</t>
        </is>
      </c>
    </row>
    <row r="529">
      <c r="A529" s="6" t="inlineStr">
        <is>
          <t>ORD-00528</t>
        </is>
      </c>
      <c r="B529" s="7" t="n">
        <v>45631</v>
      </c>
      <c r="C529" s="6" t="inlineStr">
        <is>
          <t>CUST-0007</t>
        </is>
      </c>
      <c r="D529" s="6" t="inlineStr">
        <is>
          <t>Sophie Taylor</t>
        </is>
      </c>
      <c r="E529" s="6" t="inlineStr">
        <is>
          <t>France</t>
        </is>
      </c>
      <c r="F529" s="6" t="inlineStr">
        <is>
          <t>Kitchen Organizer</t>
        </is>
      </c>
      <c r="G529" s="6" t="inlineStr">
        <is>
          <t>Home &amp; Garden</t>
        </is>
      </c>
      <c r="H529" s="6" t="n">
        <v>3</v>
      </c>
      <c r="I529" s="8" t="n">
        <v>44.17</v>
      </c>
      <c r="J529" s="9" t="n">
        <v>0.1</v>
      </c>
      <c r="K529" s="8">
        <f>H529*I529*(1-J529)</f>
        <v/>
      </c>
      <c r="L529" s="6" t="inlineStr">
        <is>
          <t>PayPal</t>
        </is>
      </c>
    </row>
    <row r="530">
      <c r="A530" s="2" t="inlineStr">
        <is>
          <t>ORD-00529</t>
        </is>
      </c>
      <c r="B530" s="3" t="n">
        <v>45632</v>
      </c>
      <c r="C530" s="2" t="inlineStr">
        <is>
          <t>CUST-0078</t>
        </is>
      </c>
      <c r="D530" s="2" t="inlineStr">
        <is>
          <t>Scarlett Yilmaz</t>
        </is>
      </c>
      <c r="E530" s="2" t="inlineStr">
        <is>
          <t>UK</t>
        </is>
      </c>
      <c r="F530" s="2" t="inlineStr">
        <is>
          <t>Water Bottle</t>
        </is>
      </c>
      <c r="G530" s="2" t="inlineStr">
        <is>
          <t>Sports</t>
        </is>
      </c>
      <c r="H530" s="2" t="n">
        <v>2</v>
      </c>
      <c r="I530" s="4" t="n">
        <v>21.5</v>
      </c>
      <c r="J530" s="5" t="n">
        <v>0</v>
      </c>
      <c r="K530" s="4">
        <f>H530*I530*(1-J530)</f>
        <v/>
      </c>
      <c r="L530" s="2" t="inlineStr">
        <is>
          <t>Credit Card</t>
        </is>
      </c>
    </row>
    <row r="531">
      <c r="A531" s="6" t="inlineStr">
        <is>
          <t>ORD-00530</t>
        </is>
      </c>
      <c r="B531" s="7" t="n">
        <v>45632</v>
      </c>
      <c r="C531" s="6" t="inlineStr">
        <is>
          <t>CUST-0034</t>
        </is>
      </c>
      <c r="D531" s="6" t="inlineStr">
        <is>
          <t>Ayse Schmidt</t>
        </is>
      </c>
      <c r="E531" s="6" t="inlineStr">
        <is>
          <t>Turkey</t>
        </is>
      </c>
      <c r="F531" s="6" t="inlineStr">
        <is>
          <t>Business Strategy</t>
        </is>
      </c>
      <c r="G531" s="6" t="inlineStr">
        <is>
          <t>Books</t>
        </is>
      </c>
      <c r="H531" s="6" t="n">
        <v>4</v>
      </c>
      <c r="I531" s="8" t="n">
        <v>23.17</v>
      </c>
      <c r="J531" s="9" t="n">
        <v>0</v>
      </c>
      <c r="K531" s="8">
        <f>H531*I531*(1-J531)</f>
        <v/>
      </c>
      <c r="L531" s="6" t="inlineStr">
        <is>
          <t>PayPal</t>
        </is>
      </c>
    </row>
    <row r="532">
      <c r="A532" s="2" t="inlineStr">
        <is>
          <t>ORD-00531</t>
        </is>
      </c>
      <c r="B532" s="3" t="n">
        <v>45634</v>
      </c>
      <c r="C532" s="2" t="inlineStr">
        <is>
          <t>CUST-0007</t>
        </is>
      </c>
      <c r="D532" s="2" t="inlineStr">
        <is>
          <t>Sophie Taylor</t>
        </is>
      </c>
      <c r="E532" s="2" t="inlineStr">
        <is>
          <t>France</t>
        </is>
      </c>
      <c r="F532" s="2" t="inlineStr">
        <is>
          <t>Gym Bag</t>
        </is>
      </c>
      <c r="G532" s="2" t="inlineStr">
        <is>
          <t>Sports</t>
        </is>
      </c>
      <c r="H532" s="2" t="n">
        <v>1</v>
      </c>
      <c r="I532" s="4" t="n">
        <v>51.26</v>
      </c>
      <c r="J532" s="5" t="n">
        <v>0.1</v>
      </c>
      <c r="K532" s="4">
        <f>H532*I532*(1-J532)</f>
        <v/>
      </c>
      <c r="L532" s="2" t="inlineStr">
        <is>
          <t>Credit Card</t>
        </is>
      </c>
    </row>
    <row r="533">
      <c r="A533" s="6" t="inlineStr">
        <is>
          <t>ORD-00532</t>
        </is>
      </c>
      <c r="B533" s="7" t="n">
        <v>45634</v>
      </c>
      <c r="C533" s="6" t="inlineStr">
        <is>
          <t>CUST-0042</t>
        </is>
      </c>
      <c r="D533" s="6" t="inlineStr">
        <is>
          <t>Sarah Lefebvre</t>
        </is>
      </c>
      <c r="E533" s="6" t="inlineStr">
        <is>
          <t>Germany</t>
        </is>
      </c>
      <c r="F533" s="6" t="inlineStr">
        <is>
          <t>Laptop Stand</t>
        </is>
      </c>
      <c r="G533" s="6" t="inlineStr">
        <is>
          <t>Electronics</t>
        </is>
      </c>
      <c r="H533" s="6" t="n">
        <v>2</v>
      </c>
      <c r="I533" s="8" t="n">
        <v>34.29</v>
      </c>
      <c r="J533" s="9" t="n">
        <v>0.05</v>
      </c>
      <c r="K533" s="8">
        <f>H533*I533*(1-J533)</f>
        <v/>
      </c>
      <c r="L533" s="6" t="inlineStr">
        <is>
          <t>Credit Card</t>
        </is>
      </c>
    </row>
    <row r="534">
      <c r="A534" s="2" t="inlineStr">
        <is>
          <t>ORD-00533</t>
        </is>
      </c>
      <c r="B534" s="3" t="n">
        <v>45639</v>
      </c>
      <c r="C534" s="2" t="inlineStr">
        <is>
          <t>CUST-0123</t>
        </is>
      </c>
      <c r="D534" s="2" t="inlineStr">
        <is>
          <t>Olivia Garcia</t>
        </is>
      </c>
      <c r="E534" s="2" t="inlineStr">
        <is>
          <t>France</t>
        </is>
      </c>
      <c r="F534" s="2" t="inlineStr">
        <is>
          <t>Plant Pot Set</t>
        </is>
      </c>
      <c r="G534" s="2" t="inlineStr">
        <is>
          <t>Home &amp; Garden</t>
        </is>
      </c>
      <c r="H534" s="2" t="n">
        <v>3</v>
      </c>
      <c r="I534" s="4" t="n">
        <v>16.57</v>
      </c>
      <c r="J534" s="5" t="n">
        <v>0.05</v>
      </c>
      <c r="K534" s="4">
        <f>H534*I534*(1-J534)</f>
        <v/>
      </c>
      <c r="L534" s="2" t="inlineStr">
        <is>
          <t>Credit Card</t>
        </is>
      </c>
    </row>
    <row r="535">
      <c r="A535" s="6" t="inlineStr">
        <is>
          <t>ORD-00534</t>
        </is>
      </c>
      <c r="B535" s="7" t="n">
        <v>45639</v>
      </c>
      <c r="C535" s="6" t="inlineStr">
        <is>
          <t>CUST-0026</t>
        </is>
      </c>
      <c r="D535" s="6" t="inlineStr">
        <is>
          <t>Jean Wilson</t>
        </is>
      </c>
      <c r="E535" s="6" t="inlineStr">
        <is>
          <t>Germany</t>
        </is>
      </c>
      <c r="F535" s="6" t="inlineStr">
        <is>
          <t>Data Science Handbook</t>
        </is>
      </c>
      <c r="G535" s="6" t="inlineStr">
        <is>
          <t>Books</t>
        </is>
      </c>
      <c r="H535" s="6" t="n">
        <v>5</v>
      </c>
      <c r="I535" s="8" t="n">
        <v>38.35</v>
      </c>
      <c r="J535" s="9" t="n">
        <v>0.05</v>
      </c>
      <c r="K535" s="8">
        <f>H535*I535*(1-J535)</f>
        <v/>
      </c>
      <c r="L535" s="6" t="inlineStr">
        <is>
          <t>PayPal</t>
        </is>
      </c>
    </row>
    <row r="536">
      <c r="A536" s="2" t="inlineStr">
        <is>
          <t>ORD-00535</t>
        </is>
      </c>
      <c r="B536" s="3" t="n">
        <v>45640</v>
      </c>
      <c r="C536" s="2" t="inlineStr">
        <is>
          <t>CUST-0116</t>
        </is>
      </c>
      <c r="D536" s="2" t="inlineStr">
        <is>
          <t>Claire Demir</t>
        </is>
      </c>
      <c r="E536" s="2" t="inlineStr">
        <is>
          <t>USA</t>
        </is>
      </c>
      <c r="F536" s="2" t="inlineStr">
        <is>
          <t>Running Shoes</t>
        </is>
      </c>
      <c r="G536" s="2" t="inlineStr">
        <is>
          <t>Clothing</t>
        </is>
      </c>
      <c r="H536" s="2" t="n">
        <v>3</v>
      </c>
      <c r="I536" s="4" t="n">
        <v>63.12</v>
      </c>
      <c r="J536" s="5" t="n">
        <v>0</v>
      </c>
      <c r="K536" s="4">
        <f>H536*I536*(1-J536)</f>
        <v/>
      </c>
      <c r="L536" s="2" t="inlineStr">
        <is>
          <t>Credit Card</t>
        </is>
      </c>
    </row>
    <row r="537">
      <c r="A537" s="6" t="inlineStr">
        <is>
          <t>ORD-00536</t>
        </is>
      </c>
      <c r="B537" s="7" t="n">
        <v>45642</v>
      </c>
      <c r="C537" s="6" t="inlineStr">
        <is>
          <t>CUST-0112</t>
        </is>
      </c>
      <c r="D537" s="6" t="inlineStr">
        <is>
          <t>Alexander Rodriguez</t>
        </is>
      </c>
      <c r="E537" s="6" t="inlineStr">
        <is>
          <t>Canada</t>
        </is>
      </c>
      <c r="F537" s="6" t="inlineStr">
        <is>
          <t>Resistance Bands</t>
        </is>
      </c>
      <c r="G537" s="6" t="inlineStr">
        <is>
          <t>Sports</t>
        </is>
      </c>
      <c r="H537" s="6" t="n">
        <v>1</v>
      </c>
      <c r="I537" s="8" t="n">
        <v>11.15</v>
      </c>
      <c r="J537" s="9" t="n">
        <v>0.05</v>
      </c>
      <c r="K537" s="8">
        <f>H537*I537*(1-J537)</f>
        <v/>
      </c>
      <c r="L537" s="6" t="inlineStr">
        <is>
          <t>Credit Card</t>
        </is>
      </c>
    </row>
    <row r="538">
      <c r="A538" s="2" t="inlineStr">
        <is>
          <t>ORD-00537</t>
        </is>
      </c>
      <c r="B538" s="3" t="n">
        <v>45645</v>
      </c>
      <c r="C538" s="2" t="inlineStr">
        <is>
          <t>CUST-0030</t>
        </is>
      </c>
      <c r="D538" s="2" t="inlineStr">
        <is>
          <t>Laura Brown</t>
        </is>
      </c>
      <c r="E538" s="2" t="inlineStr">
        <is>
          <t>USA</t>
        </is>
      </c>
      <c r="F538" s="2" t="inlineStr">
        <is>
          <t>Travel Photography</t>
        </is>
      </c>
      <c r="G538" s="2" t="inlineStr">
        <is>
          <t>Books</t>
        </is>
      </c>
      <c r="H538" s="2" t="n">
        <v>2</v>
      </c>
      <c r="I538" s="4" t="n">
        <v>37.54</v>
      </c>
      <c r="J538" s="5" t="n">
        <v>0.15</v>
      </c>
      <c r="K538" s="4">
        <f>H538*I538*(1-J538)</f>
        <v/>
      </c>
      <c r="L538" s="2" t="inlineStr">
        <is>
          <t>Credit Card</t>
        </is>
      </c>
    </row>
    <row r="539">
      <c r="A539" s="6" t="inlineStr">
        <is>
          <t>ORD-00538</t>
        </is>
      </c>
      <c r="B539" s="7" t="n">
        <v>45647</v>
      </c>
      <c r="C539" s="6" t="inlineStr">
        <is>
          <t>CUST-0080</t>
        </is>
      </c>
      <c r="D539" s="6" t="inlineStr">
        <is>
          <t>Claire Miller</t>
        </is>
      </c>
      <c r="E539" s="6" t="inlineStr">
        <is>
          <t>USA</t>
        </is>
      </c>
      <c r="F539" s="6" t="inlineStr">
        <is>
          <t>Gym Bag</t>
        </is>
      </c>
      <c r="G539" s="6" t="inlineStr">
        <is>
          <t>Sports</t>
        </is>
      </c>
      <c r="H539" s="6" t="n">
        <v>1</v>
      </c>
      <c r="I539" s="8" t="n">
        <v>52.47</v>
      </c>
      <c r="J539" s="9" t="n">
        <v>0.1</v>
      </c>
      <c r="K539" s="8">
        <f>H539*I539*(1-J539)</f>
        <v/>
      </c>
      <c r="L539" s="6" t="inlineStr">
        <is>
          <t>Credit Card</t>
        </is>
      </c>
    </row>
    <row r="540">
      <c r="A540" s="2" t="inlineStr">
        <is>
          <t>ORD-00539</t>
        </is>
      </c>
      <c r="B540" s="3" t="n">
        <v>45647</v>
      </c>
      <c r="C540" s="2" t="inlineStr">
        <is>
          <t>CUST-0093</t>
        </is>
      </c>
      <c r="D540" s="2" t="inlineStr">
        <is>
          <t>David Weber</t>
        </is>
      </c>
      <c r="E540" s="2" t="inlineStr">
        <is>
          <t>France</t>
        </is>
      </c>
      <c r="F540" s="2" t="inlineStr">
        <is>
          <t>Smartphone Case</t>
        </is>
      </c>
      <c r="G540" s="2" t="inlineStr">
        <is>
          <t>Electronics</t>
        </is>
      </c>
      <c r="H540" s="2" t="n">
        <v>2</v>
      </c>
      <c r="I540" s="4" t="n">
        <v>11.23</v>
      </c>
      <c r="J540" s="5" t="n">
        <v>0.05</v>
      </c>
      <c r="K540" s="4">
        <f>H540*I540*(1-J540)</f>
        <v/>
      </c>
      <c r="L540" s="2" t="inlineStr">
        <is>
          <t>PayPal</t>
        </is>
      </c>
    </row>
    <row r="541">
      <c r="A541" s="6" t="inlineStr">
        <is>
          <t>ORD-00540</t>
        </is>
      </c>
      <c r="B541" s="7" t="n">
        <v>45647</v>
      </c>
      <c r="C541" s="6" t="inlineStr">
        <is>
          <t>CUST-0018</t>
        </is>
      </c>
      <c r="D541" s="6" t="inlineStr">
        <is>
          <t>Camila Bernard</t>
        </is>
      </c>
      <c r="E541" s="6" t="inlineStr">
        <is>
          <t>USA</t>
        </is>
      </c>
      <c r="F541" s="6" t="inlineStr">
        <is>
          <t>Cooking Masterclass</t>
        </is>
      </c>
      <c r="G541" s="6" t="inlineStr">
        <is>
          <t>Books</t>
        </is>
      </c>
      <c r="H541" s="6" t="n">
        <v>3</v>
      </c>
      <c r="I541" s="8" t="n">
        <v>30.68</v>
      </c>
      <c r="J541" s="9" t="n">
        <v>0.2</v>
      </c>
      <c r="K541" s="8">
        <f>H541*I541*(1-J541)</f>
        <v/>
      </c>
      <c r="L541" s="6" t="inlineStr">
        <is>
          <t>Credit Card</t>
        </is>
      </c>
    </row>
    <row r="542">
      <c r="A542" s="2" t="inlineStr">
        <is>
          <t>ORD-00541</t>
        </is>
      </c>
      <c r="B542" s="3" t="n">
        <v>45648</v>
      </c>
      <c r="C542" s="2" t="inlineStr">
        <is>
          <t>CUST-0011</t>
        </is>
      </c>
      <c r="D542" s="2" t="inlineStr">
        <is>
          <t>Luna Lee</t>
        </is>
      </c>
      <c r="E542" s="2" t="inlineStr">
        <is>
          <t>USA</t>
        </is>
      </c>
      <c r="F542" s="2" t="inlineStr">
        <is>
          <t>Wireless Mouse</t>
        </is>
      </c>
      <c r="G542" s="2" t="inlineStr">
        <is>
          <t>Electronics</t>
        </is>
      </c>
      <c r="H542" s="2" t="n">
        <v>3</v>
      </c>
      <c r="I542" s="4" t="n">
        <v>18.7</v>
      </c>
      <c r="J542" s="5" t="n">
        <v>0.2</v>
      </c>
      <c r="K542" s="4">
        <f>H542*I542*(1-J542)</f>
        <v/>
      </c>
      <c r="L542" s="2" t="inlineStr">
        <is>
          <t>Credit Card</t>
        </is>
      </c>
    </row>
    <row r="543">
      <c r="A543" s="6" t="inlineStr">
        <is>
          <t>ORD-00542</t>
        </is>
      </c>
      <c r="B543" s="7" t="n">
        <v>45649</v>
      </c>
      <c r="C543" s="6" t="inlineStr">
        <is>
          <t>CUST-0121</t>
        </is>
      </c>
      <c r="D543" s="6" t="inlineStr">
        <is>
          <t>Luna Thomas</t>
        </is>
      </c>
      <c r="E543" s="6" t="inlineStr">
        <is>
          <t>France</t>
        </is>
      </c>
      <c r="F543" s="6" t="inlineStr">
        <is>
          <t>Cotton T-Shirt</t>
        </is>
      </c>
      <c r="G543" s="6" t="inlineStr">
        <is>
          <t>Clothing</t>
        </is>
      </c>
      <c r="H543" s="6" t="n">
        <v>1</v>
      </c>
      <c r="I543" s="8" t="n">
        <v>33.11</v>
      </c>
      <c r="J543" s="9" t="n">
        <v>0</v>
      </c>
      <c r="K543" s="8">
        <f>H543*I543*(1-J543)</f>
        <v/>
      </c>
      <c r="L543" s="6" t="inlineStr">
        <is>
          <t>Credit Card</t>
        </is>
      </c>
    </row>
    <row r="544">
      <c r="A544" s="2" t="inlineStr">
        <is>
          <t>ORD-00543</t>
        </is>
      </c>
      <c r="B544" s="3" t="n">
        <v>45651</v>
      </c>
      <c r="C544" s="2" t="inlineStr">
        <is>
          <t>CUST-0113</t>
        </is>
      </c>
      <c r="D544" s="2" t="inlineStr">
        <is>
          <t>Noah Jackson</t>
        </is>
      </c>
      <c r="E544" s="2" t="inlineStr">
        <is>
          <t>UK</t>
        </is>
      </c>
      <c r="F544" s="2" t="inlineStr">
        <is>
          <t>Cooking Masterclass</t>
        </is>
      </c>
      <c r="G544" s="2" t="inlineStr">
        <is>
          <t>Books</t>
        </is>
      </c>
      <c r="H544" s="2" t="n">
        <v>1</v>
      </c>
      <c r="I544" s="4" t="n">
        <v>35.44</v>
      </c>
      <c r="J544" s="5" t="n">
        <v>0</v>
      </c>
      <c r="K544" s="4">
        <f>H544*I544*(1-J544)</f>
        <v/>
      </c>
      <c r="L544" s="2" t="inlineStr">
        <is>
          <t>Credit Card</t>
        </is>
      </c>
    </row>
    <row r="545">
      <c r="A545" s="6" t="inlineStr">
        <is>
          <t>ORD-00544</t>
        </is>
      </c>
      <c r="B545" s="7" t="n">
        <v>45652</v>
      </c>
      <c r="C545" s="6" t="inlineStr">
        <is>
          <t>CUST-0022</t>
        </is>
      </c>
      <c r="D545" s="6" t="inlineStr">
        <is>
          <t>Penelope Chen</t>
        </is>
      </c>
      <c r="E545" s="6" t="inlineStr">
        <is>
          <t>Turkey</t>
        </is>
      </c>
      <c r="F545" s="6" t="inlineStr">
        <is>
          <t>Winter Jacket</t>
        </is>
      </c>
      <c r="G545" s="6" t="inlineStr">
        <is>
          <t>Clothing</t>
        </is>
      </c>
      <c r="H545" s="6" t="n">
        <v>1</v>
      </c>
      <c r="I545" s="8" t="n">
        <v>121.47</v>
      </c>
      <c r="J545" s="9" t="n">
        <v>0</v>
      </c>
      <c r="K545" s="8">
        <f>H545*I545*(1-J545)</f>
        <v/>
      </c>
      <c r="L545" s="6" t="inlineStr">
        <is>
          <t>PayPal</t>
        </is>
      </c>
    </row>
    <row r="546">
      <c r="A546" s="2" t="inlineStr">
        <is>
          <t>ORD-00545</t>
        </is>
      </c>
      <c r="B546" s="3" t="n">
        <v>45653</v>
      </c>
      <c r="C546" s="2" t="inlineStr">
        <is>
          <t>CUST-0058</t>
        </is>
      </c>
      <c r="D546" s="2" t="inlineStr">
        <is>
          <t>Evelyn Jackson</t>
        </is>
      </c>
      <c r="E546" s="2" t="inlineStr">
        <is>
          <t>USA</t>
        </is>
      </c>
      <c r="F546" s="2" t="inlineStr">
        <is>
          <t>Wool Scarf</t>
        </is>
      </c>
      <c r="G546" s="2" t="inlineStr">
        <is>
          <t>Clothing</t>
        </is>
      </c>
      <c r="H546" s="2" t="n">
        <v>3</v>
      </c>
      <c r="I546" s="4" t="n">
        <v>42.36</v>
      </c>
      <c r="J546" s="5" t="n">
        <v>0</v>
      </c>
      <c r="K546" s="4">
        <f>H546*I546*(1-J546)</f>
        <v/>
      </c>
      <c r="L546" s="2" t="inlineStr">
        <is>
          <t>PayPal</t>
        </is>
      </c>
    </row>
    <row r="547">
      <c r="A547" s="6" t="inlineStr">
        <is>
          <t>ORD-00546</t>
        </is>
      </c>
      <c r="B547" s="7" t="n">
        <v>45653</v>
      </c>
      <c r="C547" s="6" t="inlineStr">
        <is>
          <t>CUST-0002</t>
        </is>
      </c>
      <c r="D547" s="6" t="inlineStr">
        <is>
          <t>Harper Jackson</t>
        </is>
      </c>
      <c r="E547" s="6" t="inlineStr">
        <is>
          <t>USA</t>
        </is>
      </c>
      <c r="F547" s="6" t="inlineStr">
        <is>
          <t>Scented Candle</t>
        </is>
      </c>
      <c r="G547" s="6" t="inlineStr">
        <is>
          <t>Home &amp; Garden</t>
        </is>
      </c>
      <c r="H547" s="6" t="n">
        <v>1</v>
      </c>
      <c r="I547" s="8" t="n">
        <v>17.79</v>
      </c>
      <c r="J547" s="9" t="n">
        <v>0</v>
      </c>
      <c r="K547" s="8">
        <f>H547*I547*(1-J547)</f>
        <v/>
      </c>
      <c r="L547" s="6" t="inlineStr">
        <is>
          <t>PayPal</t>
        </is>
      </c>
    </row>
    <row r="548">
      <c r="A548" s="2" t="inlineStr">
        <is>
          <t>ORD-00547</t>
        </is>
      </c>
      <c r="B548" s="3" t="n">
        <v>45655</v>
      </c>
      <c r="C548" s="2" t="inlineStr">
        <is>
          <t>CUST-0010</t>
        </is>
      </c>
      <c r="D548" s="2" t="inlineStr">
        <is>
          <t>James Wilson</t>
        </is>
      </c>
      <c r="E548" s="2" t="inlineStr">
        <is>
          <t>France</t>
        </is>
      </c>
      <c r="F548" s="2" t="inlineStr">
        <is>
          <t>Leather Belt</t>
        </is>
      </c>
      <c r="G548" s="2" t="inlineStr">
        <is>
          <t>Clothing</t>
        </is>
      </c>
      <c r="H548" s="2" t="n">
        <v>2</v>
      </c>
      <c r="I548" s="4" t="n">
        <v>32.66</v>
      </c>
      <c r="J548" s="5" t="n">
        <v>0</v>
      </c>
      <c r="K548" s="4">
        <f>H548*I548*(1-J548)</f>
        <v/>
      </c>
      <c r="L548" s="2" t="inlineStr">
        <is>
          <t>Bank Transfer</t>
        </is>
      </c>
    </row>
    <row r="549">
      <c r="A549" s="6" t="inlineStr">
        <is>
          <t>ORD-00548</t>
        </is>
      </c>
      <c r="B549" s="7" t="n">
        <v>45656</v>
      </c>
      <c r="C549" s="6" t="inlineStr">
        <is>
          <t>CUST-0102</t>
        </is>
      </c>
      <c r="D549" s="6" t="inlineStr">
        <is>
          <t>Ahmed Jackson</t>
        </is>
      </c>
      <c r="E549" s="6" t="inlineStr">
        <is>
          <t>Germany</t>
        </is>
      </c>
      <c r="F549" s="6" t="inlineStr">
        <is>
          <t>Business Strategy</t>
        </is>
      </c>
      <c r="G549" s="6" t="inlineStr">
        <is>
          <t>Books</t>
        </is>
      </c>
      <c r="H549" s="6" t="n">
        <v>1</v>
      </c>
      <c r="I549" s="8" t="n">
        <v>23.24</v>
      </c>
      <c r="J549" s="9" t="n">
        <v>0.15</v>
      </c>
      <c r="K549" s="8">
        <f>H549*I549*(1-J549)</f>
        <v/>
      </c>
      <c r="L549" s="6" t="inlineStr">
        <is>
          <t>Credit Card</t>
        </is>
      </c>
    </row>
    <row r="550">
      <c r="A550" s="2" t="inlineStr">
        <is>
          <t>ORD-00549</t>
        </is>
      </c>
      <c r="B550" s="3" t="n">
        <v>45656</v>
      </c>
      <c r="C550" s="2" t="inlineStr">
        <is>
          <t>CUST-0112</t>
        </is>
      </c>
      <c r="D550" s="2" t="inlineStr">
        <is>
          <t>Alexander Rodriguez</t>
        </is>
      </c>
      <c r="E550" s="2" t="inlineStr">
        <is>
          <t>Canada</t>
        </is>
      </c>
      <c r="F550" s="2" t="inlineStr">
        <is>
          <t>Running Shoes</t>
        </is>
      </c>
      <c r="G550" s="2" t="inlineStr">
        <is>
          <t>Clothing</t>
        </is>
      </c>
      <c r="H550" s="2" t="n">
        <v>3</v>
      </c>
      <c r="I550" s="4" t="n">
        <v>69.39</v>
      </c>
      <c r="J550" s="5" t="n">
        <v>0.15</v>
      </c>
      <c r="K550" s="4">
        <f>H550*I550*(1-J550)</f>
        <v/>
      </c>
      <c r="L550" s="2" t="inlineStr">
        <is>
          <t>Credit Card</t>
        </is>
      </c>
    </row>
    <row r="551">
      <c r="A551" s="6" t="inlineStr">
        <is>
          <t>ORD-00550</t>
        </is>
      </c>
      <c r="B551" s="7" t="n">
        <v>45657</v>
      </c>
      <c r="C551" s="6" t="inlineStr">
        <is>
          <t>CUST-0114</t>
        </is>
      </c>
      <c r="D551" s="6" t="inlineStr">
        <is>
          <t>Lucas Wilson</t>
        </is>
      </c>
      <c r="E551" s="6" t="inlineStr">
        <is>
          <t>Turkey</t>
        </is>
      </c>
      <c r="F551" s="6" t="inlineStr">
        <is>
          <t>Travel Photography</t>
        </is>
      </c>
      <c r="G551" s="6" t="inlineStr">
        <is>
          <t>Books</t>
        </is>
      </c>
      <c r="H551" s="6" t="n">
        <v>5</v>
      </c>
      <c r="I551" s="8" t="n">
        <v>39.34</v>
      </c>
      <c r="J551" s="9" t="n">
        <v>0.1</v>
      </c>
      <c r="K551" s="8">
        <f>H551*I551*(1-J551)</f>
        <v/>
      </c>
      <c r="L551" s="6" t="inlineStr">
        <is>
          <t>PayPal</t>
        </is>
      </c>
    </row>
  </sheetData>
  <autoFilter ref="A1:L5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Total Revenue</t>
        </is>
      </c>
      <c r="D1" s="1" t="inlineStr">
        <is>
          <t>Total Orders</t>
        </is>
      </c>
      <c r="E1" s="1" t="inlineStr">
        <is>
          <t>Avg Order Value</t>
        </is>
      </c>
      <c r="F1" s="1" t="inlineStr">
        <is>
          <t>Return Rate</t>
        </is>
      </c>
    </row>
    <row r="2">
      <c r="A2" s="10" t="inlineStr">
        <is>
          <t>Running Shoes</t>
        </is>
      </c>
      <c r="B2" s="10" t="inlineStr">
        <is>
          <t>Clothing</t>
        </is>
      </c>
      <c r="C2" s="11">
        <f>SUMPRODUCT(('Raw Data'!H2:H551*'Raw Data'!I2:I551*(1-'Raw Data'!J2:J551))*('Raw Data'!F2:F551=A2))</f>
        <v/>
      </c>
      <c r="D2" s="10">
        <f>COUNTIF('Raw Data'!F2:F551,A2)</f>
        <v/>
      </c>
      <c r="E2" s="11">
        <f>IF(D2&gt;0,C2/D2,0)</f>
        <v/>
      </c>
      <c r="F2" s="12" t="n">
        <v>0.028</v>
      </c>
    </row>
    <row r="3">
      <c r="A3" s="10" t="inlineStr">
        <is>
          <t>Winter Jacket</t>
        </is>
      </c>
      <c r="B3" s="10" t="inlineStr">
        <is>
          <t>Clothing</t>
        </is>
      </c>
      <c r="C3" s="11">
        <f>SUMPRODUCT(('Raw Data'!H2:H551*'Raw Data'!I2:I551*(1-'Raw Data'!J2:J551))*('Raw Data'!F2:F551=A3))</f>
        <v/>
      </c>
      <c r="D3" s="10">
        <f>COUNTIF('Raw Data'!F2:F551,A3)</f>
        <v/>
      </c>
      <c r="E3" s="11">
        <f>IF(D3&gt;0,C3/D3,0)</f>
        <v/>
      </c>
      <c r="F3" s="12" t="n">
        <v>0.027</v>
      </c>
    </row>
    <row r="4">
      <c r="A4" s="10" t="inlineStr">
        <is>
          <t>Wireless Headphones</t>
        </is>
      </c>
      <c r="B4" s="10" t="inlineStr">
        <is>
          <t>Electronics</t>
        </is>
      </c>
      <c r="C4" s="11">
        <f>SUMPRODUCT(('Raw Data'!H2:H551*'Raw Data'!I2:I551*(1-'Raw Data'!J2:J551))*('Raw Data'!F2:F551=A4))</f>
        <v/>
      </c>
      <c r="D4" s="10">
        <f>COUNTIF('Raw Data'!F2:F551,A4)</f>
        <v/>
      </c>
      <c r="E4" s="11">
        <f>IF(D4&gt;0,C4/D4,0)</f>
        <v/>
      </c>
      <c r="F4" s="12" t="n">
        <v>0.047</v>
      </c>
    </row>
    <row r="5">
      <c r="A5" s="10" t="inlineStr">
        <is>
          <t>Fitness Tracker</t>
        </is>
      </c>
      <c r="B5" s="10" t="inlineStr">
        <is>
          <t>Sports</t>
        </is>
      </c>
      <c r="C5" s="11">
        <f>SUMPRODUCT(('Raw Data'!H2:H551*'Raw Data'!I2:I551*(1-'Raw Data'!J2:J551))*('Raw Data'!F2:F551=A5))</f>
        <v/>
      </c>
      <c r="D5" s="10">
        <f>COUNTIF('Raw Data'!F2:F551,A5)</f>
        <v/>
      </c>
      <c r="E5" s="11">
        <f>IF(D5&gt;0,C5/D5,0)</f>
        <v/>
      </c>
      <c r="F5" s="12" t="n">
        <v>0.047</v>
      </c>
    </row>
    <row r="6">
      <c r="A6" s="10" t="inlineStr">
        <is>
          <t>Denim Jeans</t>
        </is>
      </c>
      <c r="B6" s="10" t="inlineStr">
        <is>
          <t>Clothing</t>
        </is>
      </c>
      <c r="C6" s="11">
        <f>SUMPRODUCT(('Raw Data'!H2:H551*'Raw Data'!I2:I551*(1-'Raw Data'!J2:J551))*('Raw Data'!F2:F551=A6))</f>
        <v/>
      </c>
      <c r="D6" s="10">
        <f>COUNTIF('Raw Data'!F2:F551,A6)</f>
        <v/>
      </c>
      <c r="E6" s="11">
        <f>IF(D6&gt;0,C6/D6,0)</f>
        <v/>
      </c>
      <c r="F6" s="12" t="n">
        <v>0.062</v>
      </c>
    </row>
    <row r="7">
      <c r="A7" s="6" t="inlineStr">
        <is>
          <t>Gym Bag</t>
        </is>
      </c>
      <c r="B7" s="6" t="inlineStr">
        <is>
          <t>Sports</t>
        </is>
      </c>
      <c r="C7" s="8">
        <f>SUMPRODUCT(('Raw Data'!H2:H551*'Raw Data'!I2:I551*(1-'Raw Data'!J2:J551))*('Raw Data'!F2:F551=A7))</f>
        <v/>
      </c>
      <c r="D7" s="6">
        <f>COUNTIF('Raw Data'!F2:F551,A7)</f>
        <v/>
      </c>
      <c r="E7" s="8">
        <f>IF(D7&gt;0,C7/D7,0)</f>
        <v/>
      </c>
      <c r="F7" s="9" t="n">
        <v>0.05</v>
      </c>
    </row>
    <row r="8">
      <c r="A8" s="2" t="inlineStr">
        <is>
          <t>Laptop Stand</t>
        </is>
      </c>
      <c r="B8" s="2" t="inlineStr">
        <is>
          <t>Electronics</t>
        </is>
      </c>
      <c r="C8" s="4">
        <f>SUMPRODUCT(('Raw Data'!H2:H551*'Raw Data'!I2:I551*(1-'Raw Data'!J2:J551))*('Raw Data'!F2:F551=A8))</f>
        <v/>
      </c>
      <c r="D8" s="2">
        <f>COUNTIF('Raw Data'!F2:F551,A8)</f>
        <v/>
      </c>
      <c r="E8" s="4">
        <f>IF(D8&gt;0,C8/D8,0)</f>
        <v/>
      </c>
      <c r="F8" s="5" t="n">
        <v>0.039</v>
      </c>
    </row>
    <row r="9">
      <c r="A9" s="6" t="inlineStr">
        <is>
          <t>Bluetooth Speaker</t>
        </is>
      </c>
      <c r="B9" s="6" t="inlineStr">
        <is>
          <t>Electronics</t>
        </is>
      </c>
      <c r="C9" s="8">
        <f>SUMPRODUCT(('Raw Data'!H2:H551*'Raw Data'!I2:I551*(1-'Raw Data'!J2:J551))*('Raw Data'!F2:F551=A9))</f>
        <v/>
      </c>
      <c r="D9" s="6">
        <f>COUNTIF('Raw Data'!F2:F551,A9)</f>
        <v/>
      </c>
      <c r="E9" s="8">
        <f>IF(D9&gt;0,C9/D9,0)</f>
        <v/>
      </c>
      <c r="F9" s="9" t="n">
        <v>0.029</v>
      </c>
    </row>
    <row r="10">
      <c r="A10" s="2" t="inlineStr">
        <is>
          <t>Leather Belt</t>
        </is>
      </c>
      <c r="B10" s="2" t="inlineStr">
        <is>
          <t>Clothing</t>
        </is>
      </c>
      <c r="C10" s="4">
        <f>SUMPRODUCT(('Raw Data'!H2:H551*'Raw Data'!I2:I551*(1-'Raw Data'!J2:J551))*('Raw Data'!F2:F551=A10))</f>
        <v/>
      </c>
      <c r="D10" s="2">
        <f>COUNTIF('Raw Data'!F2:F551,A10)</f>
        <v/>
      </c>
      <c r="E10" s="4">
        <f>IF(D10&gt;0,C10/D10,0)</f>
        <v/>
      </c>
      <c r="F10" s="5" t="n">
        <v>0.078</v>
      </c>
    </row>
    <row r="11">
      <c r="A11" s="6" t="inlineStr">
        <is>
          <t>Wall Clock</t>
        </is>
      </c>
      <c r="B11" s="6" t="inlineStr">
        <is>
          <t>Home &amp; Garden</t>
        </is>
      </c>
      <c r="C11" s="8">
        <f>SUMPRODUCT(('Raw Data'!H2:H551*'Raw Data'!I2:I551*(1-'Raw Data'!J2:J551))*('Raw Data'!F2:F551=A11))</f>
        <v/>
      </c>
      <c r="D11" s="6">
        <f>COUNTIF('Raw Data'!F2:F551,A11)</f>
        <v/>
      </c>
      <c r="E11" s="8">
        <f>IF(D11&gt;0,C11/D11,0)</f>
        <v/>
      </c>
      <c r="F11" s="9" t="n">
        <v>0.021</v>
      </c>
    </row>
    <row r="12">
      <c r="A12" s="2" t="inlineStr">
        <is>
          <t>Wool Scarf</t>
        </is>
      </c>
      <c r="B12" s="2" t="inlineStr">
        <is>
          <t>Clothing</t>
        </is>
      </c>
      <c r="C12" s="4">
        <f>SUMPRODUCT(('Raw Data'!H2:H551*'Raw Data'!I2:I551*(1-'Raw Data'!J2:J551))*('Raw Data'!F2:F551=A12))</f>
        <v/>
      </c>
      <c r="D12" s="2">
        <f>COUNTIF('Raw Data'!F2:F551,A12)</f>
        <v/>
      </c>
      <c r="E12" s="4">
        <f>IF(D12&gt;0,C12/D12,0)</f>
        <v/>
      </c>
      <c r="F12" s="5" t="n">
        <v>0.078</v>
      </c>
    </row>
    <row r="13">
      <c r="A13" s="6" t="inlineStr">
        <is>
          <t>Data Science Handbook</t>
        </is>
      </c>
      <c r="B13" s="6" t="inlineStr">
        <is>
          <t>Books</t>
        </is>
      </c>
      <c r="C13" s="8">
        <f>SUMPRODUCT(('Raw Data'!H2:H551*'Raw Data'!I2:I551*(1-'Raw Data'!J2:J551))*('Raw Data'!F2:F551=A13))</f>
        <v/>
      </c>
      <c r="D13" s="6">
        <f>COUNTIF('Raw Data'!F2:F551,A13)</f>
        <v/>
      </c>
      <c r="E13" s="8">
        <f>IF(D13&gt;0,C13/D13,0)</f>
        <v/>
      </c>
      <c r="F13" s="9" t="n">
        <v>0.037</v>
      </c>
    </row>
    <row r="14">
      <c r="A14" s="2" t="inlineStr">
        <is>
          <t>Power Bank</t>
        </is>
      </c>
      <c r="B14" s="2" t="inlineStr">
        <is>
          <t>Electronics</t>
        </is>
      </c>
      <c r="C14" s="4">
        <f>SUMPRODUCT(('Raw Data'!H2:H551*'Raw Data'!I2:I551*(1-'Raw Data'!J2:J551))*('Raw Data'!F2:F551=A14))</f>
        <v/>
      </c>
      <c r="D14" s="2">
        <f>COUNTIF('Raw Data'!F2:F551,A14)</f>
        <v/>
      </c>
      <c r="E14" s="4">
        <f>IF(D14&gt;0,C14/D14,0)</f>
        <v/>
      </c>
      <c r="F14" s="5" t="n">
        <v>0.028</v>
      </c>
    </row>
    <row r="15">
      <c r="A15" s="6" t="inlineStr">
        <is>
          <t>Python Programming</t>
        </is>
      </c>
      <c r="B15" s="6" t="inlineStr">
        <is>
          <t>Books</t>
        </is>
      </c>
      <c r="C15" s="8">
        <f>SUMPRODUCT(('Raw Data'!H2:H551*'Raw Data'!I2:I551*(1-'Raw Data'!J2:J551))*('Raw Data'!F2:F551=A15))</f>
        <v/>
      </c>
      <c r="D15" s="6">
        <f>COUNTIF('Raw Data'!F2:F551,A15)</f>
        <v/>
      </c>
      <c r="E15" s="8">
        <f>IF(D15&gt;0,C15/D15,0)</f>
        <v/>
      </c>
      <c r="F15" s="9" t="n">
        <v>0.046</v>
      </c>
    </row>
    <row r="16">
      <c r="A16" s="2" t="inlineStr">
        <is>
          <t>Wireless Mouse</t>
        </is>
      </c>
      <c r="B16" s="2" t="inlineStr">
        <is>
          <t>Electronics</t>
        </is>
      </c>
      <c r="C16" s="4">
        <f>SUMPRODUCT(('Raw Data'!H2:H551*'Raw Data'!I2:I551*(1-'Raw Data'!J2:J551))*('Raw Data'!F2:F551=A16))</f>
        <v/>
      </c>
      <c r="D16" s="2">
        <f>COUNTIF('Raw Data'!F2:F551,A16)</f>
        <v/>
      </c>
      <c r="E16" s="4">
        <f>IF(D16&gt;0,C16/D16,0)</f>
        <v/>
      </c>
      <c r="F16" s="5" t="n">
        <v>0.02</v>
      </c>
    </row>
    <row r="17">
      <c r="A17" s="6" t="inlineStr">
        <is>
          <t>Plant Pot Set</t>
        </is>
      </c>
      <c r="B17" s="6" t="inlineStr">
        <is>
          <t>Home &amp; Garden</t>
        </is>
      </c>
      <c r="C17" s="8">
        <f>SUMPRODUCT(('Raw Data'!H2:H551*'Raw Data'!I2:I551*(1-'Raw Data'!J2:J551))*('Raw Data'!F2:F551=A17))</f>
        <v/>
      </c>
      <c r="D17" s="6">
        <f>COUNTIF('Raw Data'!F2:F551,A17)</f>
        <v/>
      </c>
      <c r="E17" s="8">
        <f>IF(D17&gt;0,C17/D17,0)</f>
        <v/>
      </c>
      <c r="F17" s="9" t="n">
        <v>0.025</v>
      </c>
    </row>
    <row r="18">
      <c r="A18" s="2" t="inlineStr">
        <is>
          <t>Business Strategy</t>
        </is>
      </c>
      <c r="B18" s="2" t="inlineStr">
        <is>
          <t>Books</t>
        </is>
      </c>
      <c r="C18" s="4">
        <f>SUMPRODUCT(('Raw Data'!H2:H551*'Raw Data'!I2:I551*(1-'Raw Data'!J2:J551))*('Raw Data'!F2:F551=A18))</f>
        <v/>
      </c>
      <c r="D18" s="2">
        <f>COUNTIF('Raw Data'!F2:F551,A18)</f>
        <v/>
      </c>
      <c r="E18" s="4">
        <f>IF(D18&gt;0,C18/D18,0)</f>
        <v/>
      </c>
      <c r="F18" s="5" t="n">
        <v>0.021</v>
      </c>
    </row>
    <row r="19">
      <c r="A19" s="6" t="inlineStr">
        <is>
          <t>Kitchen Organizer</t>
        </is>
      </c>
      <c r="B19" s="6" t="inlineStr">
        <is>
          <t>Home &amp; Garden</t>
        </is>
      </c>
      <c r="C19" s="8">
        <f>SUMPRODUCT(('Raw Data'!H2:H551*'Raw Data'!I2:I551*(1-'Raw Data'!J2:J551))*('Raw Data'!F2:F551=A19))</f>
        <v/>
      </c>
      <c r="D19" s="6">
        <f>COUNTIF('Raw Data'!F2:F551,A19)</f>
        <v/>
      </c>
      <c r="E19" s="8">
        <f>IF(D19&gt;0,C19/D19,0)</f>
        <v/>
      </c>
      <c r="F19" s="9" t="n">
        <v>0.033</v>
      </c>
    </row>
    <row r="20">
      <c r="A20" s="2" t="inlineStr">
        <is>
          <t>LED Desk Lamp</t>
        </is>
      </c>
      <c r="B20" s="2" t="inlineStr">
        <is>
          <t>Home &amp; Garden</t>
        </is>
      </c>
      <c r="C20" s="4">
        <f>SUMPRODUCT(('Raw Data'!H2:H551*'Raw Data'!I2:I551*(1-'Raw Data'!J2:J551))*('Raw Data'!F2:F551=A20))</f>
        <v/>
      </c>
      <c r="D20" s="2">
        <f>COUNTIF('Raw Data'!F2:F551,A20)</f>
        <v/>
      </c>
      <c r="E20" s="4">
        <f>IF(D20&gt;0,C20/D20,0)</f>
        <v/>
      </c>
      <c r="F20" s="5" t="n">
        <v>0.045</v>
      </c>
    </row>
    <row r="21">
      <c r="A21" s="6" t="inlineStr">
        <is>
          <t>Throw Pillow</t>
        </is>
      </c>
      <c r="B21" s="6" t="inlineStr">
        <is>
          <t>Home &amp; Garden</t>
        </is>
      </c>
      <c r="C21" s="8">
        <f>SUMPRODUCT(('Raw Data'!H2:H551*'Raw Data'!I2:I551*(1-'Raw Data'!J2:J551))*('Raw Data'!F2:F551=A21))</f>
        <v/>
      </c>
      <c r="D21" s="6">
        <f>COUNTIF('Raw Data'!F2:F551,A21)</f>
        <v/>
      </c>
      <c r="E21" s="8">
        <f>IF(D21&gt;0,C21/D21,0)</f>
        <v/>
      </c>
      <c r="F21" s="9" t="n">
        <v>0.067</v>
      </c>
    </row>
    <row r="22">
      <c r="A22" s="2" t="inlineStr">
        <is>
          <t>Travel Photography</t>
        </is>
      </c>
      <c r="B22" s="2" t="inlineStr">
        <is>
          <t>Books</t>
        </is>
      </c>
      <c r="C22" s="4">
        <f>SUMPRODUCT(('Raw Data'!H2:H551*'Raw Data'!I2:I551*(1-'Raw Data'!J2:J551))*('Raw Data'!F2:F551=A22))</f>
        <v/>
      </c>
      <c r="D22" s="2">
        <f>COUNTIF('Raw Data'!F2:F551,A22)</f>
        <v/>
      </c>
      <c r="E22" s="4">
        <f>IF(D22&gt;0,C22/D22,0)</f>
        <v/>
      </c>
      <c r="F22" s="5" t="n">
        <v>0.05</v>
      </c>
    </row>
    <row r="23">
      <c r="A23" s="6" t="inlineStr">
        <is>
          <t>Cooking Masterclass</t>
        </is>
      </c>
      <c r="B23" s="6" t="inlineStr">
        <is>
          <t>Books</t>
        </is>
      </c>
      <c r="C23" s="8">
        <f>SUMPRODUCT(('Raw Data'!H2:H551*'Raw Data'!I2:I551*(1-'Raw Data'!J2:J551))*('Raw Data'!F2:F551=A23))</f>
        <v/>
      </c>
      <c r="D23" s="6">
        <f>COUNTIF('Raw Data'!F2:F551,A23)</f>
        <v/>
      </c>
      <c r="E23" s="8">
        <f>IF(D23&gt;0,C23/D23,0)</f>
        <v/>
      </c>
      <c r="F23" s="9" t="n">
        <v>0.042</v>
      </c>
    </row>
    <row r="24">
      <c r="A24" s="2" t="inlineStr">
        <is>
          <t>Cotton T-Shirt</t>
        </is>
      </c>
      <c r="B24" s="2" t="inlineStr">
        <is>
          <t>Clothing</t>
        </is>
      </c>
      <c r="C24" s="4">
        <f>SUMPRODUCT(('Raw Data'!H2:H551*'Raw Data'!I2:I551*(1-'Raw Data'!J2:J551))*('Raw Data'!F2:F551=A24))</f>
        <v/>
      </c>
      <c r="D24" s="2">
        <f>COUNTIF('Raw Data'!F2:F551,A24)</f>
        <v/>
      </c>
      <c r="E24" s="4">
        <f>IF(D24&gt;0,C24/D24,0)</f>
        <v/>
      </c>
      <c r="F24" s="5" t="n">
        <v>0.062</v>
      </c>
    </row>
    <row r="25">
      <c r="A25" s="6" t="inlineStr">
        <is>
          <t>USB-C Hub</t>
        </is>
      </c>
      <c r="B25" s="6" t="inlineStr">
        <is>
          <t>Electronics</t>
        </is>
      </c>
      <c r="C25" s="8">
        <f>SUMPRODUCT(('Raw Data'!H2:H551*'Raw Data'!I2:I551*(1-'Raw Data'!J2:J551))*('Raw Data'!F2:F551=A25))</f>
        <v/>
      </c>
      <c r="D25" s="6">
        <f>COUNTIF('Raw Data'!F2:F551,A25)</f>
        <v/>
      </c>
      <c r="E25" s="8">
        <f>IF(D25&gt;0,C25/D25,0)</f>
        <v/>
      </c>
      <c r="F25" s="9" t="n">
        <v>0.022</v>
      </c>
    </row>
    <row r="26">
      <c r="A26" s="2" t="inlineStr">
        <is>
          <t>Water Bottle</t>
        </is>
      </c>
      <c r="B26" s="2" t="inlineStr">
        <is>
          <t>Sports</t>
        </is>
      </c>
      <c r="C26" s="4">
        <f>SUMPRODUCT(('Raw Data'!H2:H551*'Raw Data'!I2:I551*(1-'Raw Data'!J2:J551))*('Raw Data'!F2:F551=A26))</f>
        <v/>
      </c>
      <c r="D26" s="2">
        <f>COUNTIF('Raw Data'!F2:F551,A26)</f>
        <v/>
      </c>
      <c r="E26" s="4">
        <f>IF(D26&gt;0,C26/D26,0)</f>
        <v/>
      </c>
      <c r="F26" s="5" t="n">
        <v>0.025</v>
      </c>
    </row>
    <row r="27">
      <c r="A27" s="6" t="inlineStr">
        <is>
          <t>Resistance Bands</t>
        </is>
      </c>
      <c r="B27" s="6" t="inlineStr">
        <is>
          <t>Sports</t>
        </is>
      </c>
      <c r="C27" s="8">
        <f>SUMPRODUCT(('Raw Data'!H2:H551*'Raw Data'!I2:I551*(1-'Raw Data'!J2:J551))*('Raw Data'!F2:F551=A27))</f>
        <v/>
      </c>
      <c r="D27" s="6">
        <f>COUNTIF('Raw Data'!F2:F551,A27)</f>
        <v/>
      </c>
      <c r="E27" s="8">
        <f>IF(D27&gt;0,C27/D27,0)</f>
        <v/>
      </c>
      <c r="F27" s="9" t="n">
        <v>0.065</v>
      </c>
    </row>
    <row r="28">
      <c r="A28" s="2" t="inlineStr">
        <is>
          <t>Jump Rope</t>
        </is>
      </c>
      <c r="B28" s="2" t="inlineStr">
        <is>
          <t>Sports</t>
        </is>
      </c>
      <c r="C28" s="4">
        <f>SUMPRODUCT(('Raw Data'!H2:H551*'Raw Data'!I2:I551*(1-'Raw Data'!J2:J551))*('Raw Data'!F2:F551=A28))</f>
        <v/>
      </c>
      <c r="D28" s="2">
        <f>COUNTIF('Raw Data'!F2:F551,A28)</f>
        <v/>
      </c>
      <c r="E28" s="4">
        <f>IF(D28&gt;0,C28/D28,0)</f>
        <v/>
      </c>
      <c r="F28" s="5" t="n">
        <v>0.029</v>
      </c>
    </row>
    <row r="29">
      <c r="A29" s="13" t="inlineStr">
        <is>
          <t>Yoga Mat</t>
        </is>
      </c>
      <c r="B29" s="13" t="inlineStr">
        <is>
          <t>Sports</t>
        </is>
      </c>
      <c r="C29" s="14">
        <f>SUMPRODUCT(('Raw Data'!H2:H551*'Raw Data'!I2:I551*(1-'Raw Data'!J2:J551))*('Raw Data'!F2:F551=A29))</f>
        <v/>
      </c>
      <c r="D29" s="13">
        <f>COUNTIF('Raw Data'!F2:F551,A29)</f>
        <v/>
      </c>
      <c r="E29" s="14">
        <f>IF(D29&gt;0,C29/D29,0)</f>
        <v/>
      </c>
      <c r="F29" s="15" t="n">
        <v>0.036</v>
      </c>
    </row>
    <row r="30">
      <c r="A30" s="13" t="inlineStr">
        <is>
          <t>Smart Watch Band</t>
        </is>
      </c>
      <c r="B30" s="13" t="inlineStr">
        <is>
          <t>Electronics</t>
        </is>
      </c>
      <c r="C30" s="14">
        <f>SUMPRODUCT(('Raw Data'!H2:H551*'Raw Data'!I2:I551*(1-'Raw Data'!J2:J551))*('Raw Data'!F2:F551=A30))</f>
        <v/>
      </c>
      <c r="D30" s="13">
        <f>COUNTIF('Raw Data'!F2:F551,A30)</f>
        <v/>
      </c>
      <c r="E30" s="14">
        <f>IF(D30&gt;0,C30/D30,0)</f>
        <v/>
      </c>
      <c r="F30" s="15" t="n">
        <v>0.044</v>
      </c>
    </row>
    <row r="31">
      <c r="A31" s="13" t="inlineStr">
        <is>
          <t>Smartphone Case</t>
        </is>
      </c>
      <c r="B31" s="13" t="inlineStr">
        <is>
          <t>Electronics</t>
        </is>
      </c>
      <c r="C31" s="14">
        <f>SUMPRODUCT(('Raw Data'!H2:H551*'Raw Data'!I2:I551*(1-'Raw Data'!J2:J551))*('Raw Data'!F2:F551=A31))</f>
        <v/>
      </c>
      <c r="D31" s="13">
        <f>COUNTIF('Raw Data'!F2:F551,A31)</f>
        <v/>
      </c>
      <c r="E31" s="14">
        <f>IF(D31&gt;0,C31/D31,0)</f>
        <v/>
      </c>
      <c r="F31" s="15" t="n">
        <v>0.053</v>
      </c>
    </row>
    <row r="32">
      <c r="A32" s="13" t="inlineStr">
        <is>
          <t>Scented Candle</t>
        </is>
      </c>
      <c r="B32" s="13" t="inlineStr">
        <is>
          <t>Home &amp; Garden</t>
        </is>
      </c>
      <c r="C32" s="14">
        <f>SUMPRODUCT(('Raw Data'!H2:H551*'Raw Data'!I2:I551*(1-'Raw Data'!J2:J551))*('Raw Data'!F2:F551=A32))</f>
        <v/>
      </c>
      <c r="D32" s="13">
        <f>COUNTIF('Raw Data'!F2:F551,A32)</f>
        <v/>
      </c>
      <c r="E32" s="14">
        <f>IF(D32&gt;0,C32/D32,0)</f>
        <v/>
      </c>
      <c r="F32" s="15" t="n">
        <v>0.031</v>
      </c>
    </row>
    <row r="33">
      <c r="A33" s="13" t="inlineStr">
        <is>
          <t>Self-Help Guide</t>
        </is>
      </c>
      <c r="B33" s="13" t="inlineStr">
        <is>
          <t>Books</t>
        </is>
      </c>
      <c r="C33" s="14">
        <f>SUMPRODUCT(('Raw Data'!H2:H551*'Raw Data'!I2:I551*(1-'Raw Data'!J2:J551))*('Raw Data'!F2:F551=A33))</f>
        <v/>
      </c>
      <c r="D33" s="13">
        <f>COUNTIF('Raw Data'!F2:F551,A33)</f>
        <v/>
      </c>
      <c r="E33" s="14">
        <f>IF(D33&gt;0,C33/D33,0)</f>
        <v/>
      </c>
      <c r="F33" s="15" t="n">
        <v>0.074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Total Orders</t>
        </is>
      </c>
      <c r="D1" s="1" t="inlineStr">
        <is>
          <t>Total Spent</t>
        </is>
      </c>
      <c r="E1" s="1" t="inlineStr">
        <is>
          <t>Avg Order Value</t>
        </is>
      </c>
      <c r="F1" s="1" t="inlineStr">
        <is>
          <t>First Purchase</t>
        </is>
      </c>
      <c r="G1" s="1" t="inlineStr">
        <is>
          <t>Last Purchase</t>
        </is>
      </c>
      <c r="H1" s="1" t="inlineStr">
        <is>
          <t>Segment</t>
        </is>
      </c>
    </row>
    <row r="2">
      <c r="A2" s="16" t="inlineStr">
        <is>
          <t>CUST-0137</t>
        </is>
      </c>
      <c r="B2" s="16" t="inlineStr">
        <is>
          <t>Mia Dupont</t>
        </is>
      </c>
      <c r="C2" s="16" t="n">
        <v>8</v>
      </c>
      <c r="D2" s="17" t="n">
        <v>1494.88</v>
      </c>
      <c r="E2" s="17" t="n">
        <v>186.86</v>
      </c>
      <c r="F2" s="18" t="n">
        <v>44991</v>
      </c>
      <c r="G2" s="18" t="n">
        <v>45617</v>
      </c>
      <c r="H2" s="16" t="inlineStr">
        <is>
          <t>VIP</t>
        </is>
      </c>
    </row>
    <row r="3">
      <c r="A3" s="16" t="inlineStr">
        <is>
          <t>CUST-0043</t>
        </is>
      </c>
      <c r="B3" s="16" t="inlineStr">
        <is>
          <t>Daniel Mueller</t>
        </is>
      </c>
      <c r="C3" s="16" t="n">
        <v>11</v>
      </c>
      <c r="D3" s="17" t="n">
        <v>1475.46</v>
      </c>
      <c r="E3" s="17" t="n">
        <v>134.13</v>
      </c>
      <c r="F3" s="18" t="n">
        <v>44988</v>
      </c>
      <c r="G3" s="18" t="n">
        <v>45555</v>
      </c>
      <c r="H3" s="16" t="inlineStr">
        <is>
          <t>VIP</t>
        </is>
      </c>
    </row>
    <row r="4">
      <c r="A4" s="16" t="inlineStr">
        <is>
          <t>CUST-0001</t>
        </is>
      </c>
      <c r="B4" s="16" t="inlineStr">
        <is>
          <t>Jean Davis</t>
        </is>
      </c>
      <c r="C4" s="16" t="n">
        <v>6</v>
      </c>
      <c r="D4" s="17" t="n">
        <v>842.85</v>
      </c>
      <c r="E4" s="17" t="n">
        <v>140.47</v>
      </c>
      <c r="F4" s="18" t="n">
        <v>45200</v>
      </c>
      <c r="G4" s="18" t="n">
        <v>45537</v>
      </c>
      <c r="H4" s="16" t="inlineStr">
        <is>
          <t>VIP</t>
        </is>
      </c>
    </row>
    <row r="5">
      <c r="A5" s="16" t="inlineStr">
        <is>
          <t>CUST-0085</t>
        </is>
      </c>
      <c r="B5" s="16" t="inlineStr">
        <is>
          <t>Noah Wilson</t>
        </is>
      </c>
      <c r="C5" s="16" t="n">
        <v>5</v>
      </c>
      <c r="D5" s="17" t="n">
        <v>842.59</v>
      </c>
      <c r="E5" s="17" t="n">
        <v>168.52</v>
      </c>
      <c r="F5" s="18" t="n">
        <v>45030</v>
      </c>
      <c r="G5" s="18" t="n">
        <v>45531</v>
      </c>
      <c r="H5" s="16" t="inlineStr">
        <is>
          <t>VIP</t>
        </is>
      </c>
    </row>
    <row r="6">
      <c r="A6" s="16" t="inlineStr">
        <is>
          <t>CUST-0099</t>
        </is>
      </c>
      <c r="B6" s="16" t="inlineStr">
        <is>
          <t>Hans Garcia</t>
        </is>
      </c>
      <c r="C6" s="16" t="n">
        <v>5</v>
      </c>
      <c r="D6" s="17" t="n">
        <v>788.28</v>
      </c>
      <c r="E6" s="17" t="n">
        <v>157.66</v>
      </c>
      <c r="F6" s="18" t="n">
        <v>44965</v>
      </c>
      <c r="G6" s="18" t="n">
        <v>45621</v>
      </c>
      <c r="H6" s="16" t="inlineStr">
        <is>
          <t>VIP</t>
        </is>
      </c>
    </row>
    <row r="7">
      <c r="A7" s="16" t="inlineStr">
        <is>
          <t>CUST-0148</t>
        </is>
      </c>
      <c r="B7" s="16" t="inlineStr">
        <is>
          <t>Pierre Clark</t>
        </is>
      </c>
      <c r="C7" s="16" t="n">
        <v>6</v>
      </c>
      <c r="D7" s="17" t="n">
        <v>756.12</v>
      </c>
      <c r="E7" s="17" t="n">
        <v>126.02</v>
      </c>
      <c r="F7" s="18" t="n">
        <v>44973</v>
      </c>
      <c r="G7" s="18" t="n">
        <v>45487</v>
      </c>
      <c r="H7" s="16" t="inlineStr">
        <is>
          <t>VIP</t>
        </is>
      </c>
    </row>
    <row r="8">
      <c r="A8" s="16" t="inlineStr">
        <is>
          <t>CUST-0090</t>
        </is>
      </c>
      <c r="B8" s="16" t="inlineStr">
        <is>
          <t>Aria Brown</t>
        </is>
      </c>
      <c r="C8" s="16" t="n">
        <v>5</v>
      </c>
      <c r="D8" s="17" t="n">
        <v>731.92</v>
      </c>
      <c r="E8" s="17" t="n">
        <v>146.38</v>
      </c>
      <c r="F8" s="18" t="n">
        <v>45072</v>
      </c>
      <c r="G8" s="18" t="n">
        <v>45596</v>
      </c>
      <c r="H8" s="16" t="inlineStr">
        <is>
          <t>VIP</t>
        </is>
      </c>
    </row>
    <row r="9">
      <c r="A9" s="16" t="inlineStr">
        <is>
          <t>CUST-0023</t>
        </is>
      </c>
      <c r="B9" s="16" t="inlineStr">
        <is>
          <t>Lucas Kaya</t>
        </is>
      </c>
      <c r="C9" s="16" t="n">
        <v>5</v>
      </c>
      <c r="D9" s="17" t="n">
        <v>689.77</v>
      </c>
      <c r="E9" s="17" t="n">
        <v>137.95</v>
      </c>
      <c r="F9" s="18" t="n">
        <v>44989</v>
      </c>
      <c r="G9" s="18" t="n">
        <v>45548</v>
      </c>
      <c r="H9" s="16" t="inlineStr">
        <is>
          <t>VIP</t>
        </is>
      </c>
    </row>
    <row r="10">
      <c r="A10" s="16" t="inlineStr">
        <is>
          <t>CUST-0127</t>
        </is>
      </c>
      <c r="B10" s="16" t="inlineStr">
        <is>
          <t>Sophie Lefebvre</t>
        </is>
      </c>
      <c r="C10" s="16" t="n">
        <v>6</v>
      </c>
      <c r="D10" s="17" t="n">
        <v>644.66</v>
      </c>
      <c r="E10" s="17" t="n">
        <v>107.44</v>
      </c>
      <c r="F10" s="18" t="n">
        <v>45007</v>
      </c>
      <c r="G10" s="18" t="n">
        <v>45567</v>
      </c>
      <c r="H10" s="16" t="inlineStr">
        <is>
          <t>VIP</t>
        </is>
      </c>
    </row>
    <row r="11">
      <c r="A11" s="16" t="inlineStr">
        <is>
          <t>CUST-0145</t>
        </is>
      </c>
      <c r="B11" s="16" t="inlineStr">
        <is>
          <t>Mason Schmidt</t>
        </is>
      </c>
      <c r="C11" s="16" t="n">
        <v>7</v>
      </c>
      <c r="D11" s="17" t="n">
        <v>636.27</v>
      </c>
      <c r="E11" s="17" t="n">
        <v>90.90000000000001</v>
      </c>
      <c r="F11" s="18" t="n">
        <v>45055</v>
      </c>
      <c r="G11" s="18" t="n">
        <v>45540</v>
      </c>
      <c r="H11" s="16" t="inlineStr">
        <is>
          <t>VIP</t>
        </is>
      </c>
    </row>
    <row r="12">
      <c r="A12" s="16" t="inlineStr">
        <is>
          <t>CUST-0017</t>
        </is>
      </c>
      <c r="B12" s="16" t="inlineStr">
        <is>
          <t>Jean Roy</t>
        </is>
      </c>
      <c r="C12" s="16" t="n">
        <v>2</v>
      </c>
      <c r="D12" s="17" t="n">
        <v>615.26</v>
      </c>
      <c r="E12" s="17" t="n">
        <v>307.63</v>
      </c>
      <c r="F12" s="18" t="n">
        <v>45146</v>
      </c>
      <c r="G12" s="18" t="n">
        <v>45420</v>
      </c>
      <c r="H12" s="16" t="inlineStr">
        <is>
          <t>VIP</t>
        </is>
      </c>
    </row>
    <row r="13">
      <c r="A13" s="16" t="inlineStr">
        <is>
          <t>CUST-0012</t>
        </is>
      </c>
      <c r="B13" s="16" t="inlineStr">
        <is>
          <t>Thomas Clark</t>
        </is>
      </c>
      <c r="C13" s="16" t="n">
        <v>5</v>
      </c>
      <c r="D13" s="17" t="n">
        <v>607.46</v>
      </c>
      <c r="E13" s="17" t="n">
        <v>121.49</v>
      </c>
      <c r="F13" s="18" t="n">
        <v>44993</v>
      </c>
      <c r="G13" s="18" t="n">
        <v>45526</v>
      </c>
      <c r="H13" s="16" t="inlineStr">
        <is>
          <t>VIP</t>
        </is>
      </c>
    </row>
    <row r="14">
      <c r="A14" s="16" t="inlineStr">
        <is>
          <t>CUST-0024</t>
        </is>
      </c>
      <c r="B14" s="16" t="inlineStr">
        <is>
          <t>Robert Lee</t>
        </is>
      </c>
      <c r="C14" s="16" t="n">
        <v>8</v>
      </c>
      <c r="D14" s="17" t="n">
        <v>584.21</v>
      </c>
      <c r="E14" s="17" t="n">
        <v>73.03</v>
      </c>
      <c r="F14" s="18" t="n">
        <v>44958</v>
      </c>
      <c r="G14" s="18" t="n">
        <v>45392</v>
      </c>
      <c r="H14" s="16" t="inlineStr">
        <is>
          <t>VIP</t>
        </is>
      </c>
    </row>
    <row r="15">
      <c r="A15" s="16" t="inlineStr">
        <is>
          <t>CUST-0101</t>
        </is>
      </c>
      <c r="B15" s="16" t="inlineStr">
        <is>
          <t>Amelia Schmidt</t>
        </is>
      </c>
      <c r="C15" s="16" t="n">
        <v>4</v>
      </c>
      <c r="D15" s="17" t="n">
        <v>583.73</v>
      </c>
      <c r="E15" s="17" t="n">
        <v>145.93</v>
      </c>
      <c r="F15" s="18" t="n">
        <v>45180</v>
      </c>
      <c r="G15" s="18" t="n">
        <v>45579</v>
      </c>
      <c r="H15" s="16" t="inlineStr">
        <is>
          <t>VIP</t>
        </is>
      </c>
    </row>
    <row r="16">
      <c r="A16" s="19" t="inlineStr">
        <is>
          <t>CUST-0031</t>
        </is>
      </c>
      <c r="B16" s="19" t="inlineStr">
        <is>
          <t>Liam Harris</t>
        </is>
      </c>
      <c r="C16" s="19" t="n">
        <v>5</v>
      </c>
      <c r="D16" s="20" t="n">
        <v>577.51</v>
      </c>
      <c r="E16" s="20" t="n">
        <v>115.5</v>
      </c>
      <c r="F16" s="21" t="n">
        <v>45068</v>
      </c>
      <c r="G16" s="21" t="n">
        <v>45559</v>
      </c>
      <c r="H16" s="19" t="inlineStr">
        <is>
          <t>At Risk</t>
        </is>
      </c>
    </row>
    <row r="17">
      <c r="A17" s="22" t="inlineStr">
        <is>
          <t>CUST-0134</t>
        </is>
      </c>
      <c r="B17" s="22" t="inlineStr">
        <is>
          <t>Oliver Yilmaz</t>
        </is>
      </c>
      <c r="C17" s="22" t="n">
        <v>5</v>
      </c>
      <c r="D17" s="23" t="n">
        <v>564.8</v>
      </c>
      <c r="E17" s="23" t="n">
        <v>112.96</v>
      </c>
      <c r="F17" s="24" t="n">
        <v>45115</v>
      </c>
      <c r="G17" s="24" t="n">
        <v>45605</v>
      </c>
      <c r="H17" s="22" t="inlineStr">
        <is>
          <t>Regular</t>
        </is>
      </c>
    </row>
    <row r="18">
      <c r="A18" s="22" t="inlineStr">
        <is>
          <t>CUST-0051</t>
        </is>
      </c>
      <c r="B18" s="22" t="inlineStr">
        <is>
          <t>Thomas Anderson</t>
        </is>
      </c>
      <c r="C18" s="22" t="n">
        <v>5</v>
      </c>
      <c r="D18" s="23" t="n">
        <v>554.5599999999999</v>
      </c>
      <c r="E18" s="23" t="n">
        <v>110.91</v>
      </c>
      <c r="F18" s="24" t="n">
        <v>45027</v>
      </c>
      <c r="G18" s="24" t="n">
        <v>45613</v>
      </c>
      <c r="H18" s="22" t="inlineStr">
        <is>
          <t>Regular</t>
        </is>
      </c>
    </row>
    <row r="19">
      <c r="A19" s="22" t="inlineStr">
        <is>
          <t>CUST-0077</t>
        </is>
      </c>
      <c r="B19" s="22" t="inlineStr">
        <is>
          <t>Mason Miller</t>
        </is>
      </c>
      <c r="C19" s="22" t="n">
        <v>6</v>
      </c>
      <c r="D19" s="23" t="n">
        <v>548.76</v>
      </c>
      <c r="E19" s="23" t="n">
        <v>91.45999999999999</v>
      </c>
      <c r="F19" s="24" t="n">
        <v>44950</v>
      </c>
      <c r="G19" s="24" t="n">
        <v>45594</v>
      </c>
      <c r="H19" s="22" t="inlineStr">
        <is>
          <t>Regular</t>
        </is>
      </c>
    </row>
    <row r="20">
      <c r="A20" s="22" t="inlineStr">
        <is>
          <t>CUST-0028</t>
        </is>
      </c>
      <c r="B20" s="22" t="inlineStr">
        <is>
          <t>Harper Chen</t>
        </is>
      </c>
      <c r="C20" s="22" t="n">
        <v>5</v>
      </c>
      <c r="D20" s="23" t="n">
        <v>546.83</v>
      </c>
      <c r="E20" s="23" t="n">
        <v>109.37</v>
      </c>
      <c r="F20" s="24" t="n">
        <v>45110</v>
      </c>
      <c r="G20" s="24" t="n">
        <v>45604</v>
      </c>
      <c r="H20" s="22" t="inlineStr">
        <is>
          <t>Regular</t>
        </is>
      </c>
    </row>
    <row r="21">
      <c r="A21" s="22" t="inlineStr">
        <is>
          <t>CUST-0025</t>
        </is>
      </c>
      <c r="B21" s="22" t="inlineStr">
        <is>
          <t>Sarah Park</t>
        </is>
      </c>
      <c r="C21" s="22" t="n">
        <v>4</v>
      </c>
      <c r="D21" s="23" t="n">
        <v>511.43</v>
      </c>
      <c r="E21" s="23" t="n">
        <v>127.86</v>
      </c>
      <c r="F21" s="24" t="n">
        <v>45011</v>
      </c>
      <c r="G21" s="24" t="n">
        <v>45612</v>
      </c>
      <c r="H21" s="22" t="inlineStr">
        <is>
          <t>Regular</t>
        </is>
      </c>
    </row>
    <row r="22">
      <c r="A22" s="22" t="inlineStr">
        <is>
          <t>CUST-0138</t>
        </is>
      </c>
      <c r="B22" s="22" t="inlineStr">
        <is>
          <t>Anna Clark</t>
        </is>
      </c>
      <c r="C22" s="22" t="n">
        <v>8</v>
      </c>
      <c r="D22" s="23" t="n">
        <v>508.81</v>
      </c>
      <c r="E22" s="23" t="n">
        <v>63.6</v>
      </c>
      <c r="F22" s="24" t="n">
        <v>45070</v>
      </c>
      <c r="G22" s="24" t="n">
        <v>45582</v>
      </c>
      <c r="H22" s="22" t="inlineStr">
        <is>
          <t>Regular</t>
        </is>
      </c>
    </row>
    <row r="23">
      <c r="A23" s="19" t="inlineStr">
        <is>
          <t>CUST-0074</t>
        </is>
      </c>
      <c r="B23" s="19" t="inlineStr">
        <is>
          <t>Robert Stewart</t>
        </is>
      </c>
      <c r="C23" s="19" t="n">
        <v>5</v>
      </c>
      <c r="D23" s="20" t="n">
        <v>497.71</v>
      </c>
      <c r="E23" s="20" t="n">
        <v>99.54000000000001</v>
      </c>
      <c r="F23" s="21" t="n">
        <v>44959</v>
      </c>
      <c r="G23" s="21" t="n">
        <v>45435</v>
      </c>
      <c r="H23" s="19" t="inlineStr">
        <is>
          <t>At Risk</t>
        </is>
      </c>
    </row>
    <row r="24">
      <c r="A24" s="19" t="inlineStr">
        <is>
          <t>CUST-0089</t>
        </is>
      </c>
      <c r="B24" s="19" t="inlineStr">
        <is>
          <t>Ayse Fraser</t>
        </is>
      </c>
      <c r="C24" s="19" t="n">
        <v>6</v>
      </c>
      <c r="D24" s="20" t="n">
        <v>486.66</v>
      </c>
      <c r="E24" s="20" t="n">
        <v>81.11</v>
      </c>
      <c r="F24" s="21" t="n">
        <v>44969</v>
      </c>
      <c r="G24" s="21" t="n">
        <v>45475</v>
      </c>
      <c r="H24" s="19" t="inlineStr">
        <is>
          <t>At Risk</t>
        </is>
      </c>
    </row>
    <row r="25">
      <c r="A25" s="22" t="inlineStr">
        <is>
          <t>CUST-0114</t>
        </is>
      </c>
      <c r="B25" s="22" t="inlineStr">
        <is>
          <t>Lucas Wilson</t>
        </is>
      </c>
      <c r="C25" s="22" t="n">
        <v>5</v>
      </c>
      <c r="D25" s="23" t="n">
        <v>486.06</v>
      </c>
      <c r="E25" s="23" t="n">
        <v>97.20999999999999</v>
      </c>
      <c r="F25" s="24" t="n">
        <v>45204</v>
      </c>
      <c r="G25" s="24" t="n">
        <v>45657</v>
      </c>
      <c r="H25" s="22" t="inlineStr">
        <is>
          <t>Regular</t>
        </is>
      </c>
    </row>
    <row r="26">
      <c r="A26" s="22" t="inlineStr">
        <is>
          <t>CUST-0035</t>
        </is>
      </c>
      <c r="B26" s="22" t="inlineStr">
        <is>
          <t>Claire Campbell</t>
        </is>
      </c>
      <c r="C26" s="22" t="n">
        <v>8</v>
      </c>
      <c r="D26" s="23" t="n">
        <v>480.64</v>
      </c>
      <c r="E26" s="23" t="n">
        <v>60.08</v>
      </c>
      <c r="F26" s="24" t="n">
        <v>45152</v>
      </c>
      <c r="G26" s="24" t="n">
        <v>45630</v>
      </c>
      <c r="H26" s="22" t="inlineStr">
        <is>
          <t>Regular</t>
        </is>
      </c>
    </row>
    <row r="27">
      <c r="A27" s="22" t="inlineStr">
        <is>
          <t>CUST-0116</t>
        </is>
      </c>
      <c r="B27" s="22" t="inlineStr">
        <is>
          <t>Claire Demir</t>
        </is>
      </c>
      <c r="C27" s="22" t="n">
        <v>5</v>
      </c>
      <c r="D27" s="23" t="n">
        <v>469.76</v>
      </c>
      <c r="E27" s="23" t="n">
        <v>93.95</v>
      </c>
      <c r="F27" s="24" t="n">
        <v>44960</v>
      </c>
      <c r="G27" s="24" t="n">
        <v>45640</v>
      </c>
      <c r="H27" s="22" t="inlineStr">
        <is>
          <t>Regular</t>
        </is>
      </c>
    </row>
    <row r="28">
      <c r="A28" s="19" t="inlineStr">
        <is>
          <t>CUST-0004</t>
        </is>
      </c>
      <c r="B28" s="19" t="inlineStr">
        <is>
          <t>Pierre Garcia</t>
        </is>
      </c>
      <c r="C28" s="19" t="n">
        <v>2</v>
      </c>
      <c r="D28" s="20" t="n">
        <v>463.11</v>
      </c>
      <c r="E28" s="20" t="n">
        <v>231.55</v>
      </c>
      <c r="F28" s="21" t="n">
        <v>45321</v>
      </c>
      <c r="G28" s="21" t="n">
        <v>45467</v>
      </c>
      <c r="H28" s="19" t="inlineStr">
        <is>
          <t>At Risk</t>
        </is>
      </c>
    </row>
    <row r="29">
      <c r="A29" s="22" t="inlineStr">
        <is>
          <t>CUST-0118</t>
        </is>
      </c>
      <c r="B29" s="22" t="inlineStr">
        <is>
          <t>Oliver Rodriguez</t>
        </is>
      </c>
      <c r="C29" s="22" t="n">
        <v>7</v>
      </c>
      <c r="D29" s="23" t="n">
        <v>461.85</v>
      </c>
      <c r="E29" s="23" t="n">
        <v>65.98</v>
      </c>
      <c r="F29" s="24" t="n">
        <v>45093</v>
      </c>
      <c r="G29" s="24" t="n">
        <v>45568</v>
      </c>
      <c r="H29" s="22" t="inlineStr">
        <is>
          <t>Regular</t>
        </is>
      </c>
    </row>
    <row r="30">
      <c r="A30" s="19" t="inlineStr">
        <is>
          <t>CUST-0106</t>
        </is>
      </c>
      <c r="B30" s="19" t="inlineStr">
        <is>
          <t>Emily Harris</t>
        </is>
      </c>
      <c r="C30" s="19" t="n">
        <v>3</v>
      </c>
      <c r="D30" s="20" t="n">
        <v>457.6</v>
      </c>
      <c r="E30" s="20" t="n">
        <v>152.53</v>
      </c>
      <c r="F30" s="21" t="n">
        <v>45097</v>
      </c>
      <c r="G30" s="21" t="n">
        <v>45160</v>
      </c>
      <c r="H30" s="19" t="inlineStr">
        <is>
          <t>At Risk</t>
        </is>
      </c>
    </row>
    <row r="31">
      <c r="A31" s="22" t="inlineStr">
        <is>
          <t>CUST-0131</t>
        </is>
      </c>
      <c r="B31" s="22" t="inlineStr">
        <is>
          <t>Scarlett Rodriguez</t>
        </is>
      </c>
      <c r="C31" s="22" t="n">
        <v>6</v>
      </c>
      <c r="D31" s="23" t="n">
        <v>453.79</v>
      </c>
      <c r="E31" s="23" t="n">
        <v>75.63</v>
      </c>
      <c r="F31" s="24" t="n">
        <v>44934</v>
      </c>
      <c r="G31" s="24" t="n">
        <v>45616</v>
      </c>
      <c r="H31" s="22" t="inlineStr">
        <is>
          <t>Regular</t>
        </is>
      </c>
    </row>
    <row r="32">
      <c r="A32" s="19" t="inlineStr">
        <is>
          <t>CUST-0115</t>
        </is>
      </c>
      <c r="B32" s="19" t="inlineStr">
        <is>
          <t>Emily White</t>
        </is>
      </c>
      <c r="C32" s="19" t="n">
        <v>6</v>
      </c>
      <c r="D32" s="20" t="n">
        <v>453.07</v>
      </c>
      <c r="E32" s="20" t="n">
        <v>75.51000000000001</v>
      </c>
      <c r="F32" s="21" t="n">
        <v>45002</v>
      </c>
      <c r="G32" s="21" t="n">
        <v>45449</v>
      </c>
      <c r="H32" s="19" t="inlineStr">
        <is>
          <t>At Risk</t>
        </is>
      </c>
    </row>
    <row r="33">
      <c r="A33" s="22" t="inlineStr">
        <is>
          <t>CUST-0098</t>
        </is>
      </c>
      <c r="B33" s="22" t="inlineStr">
        <is>
          <t>Hans Demir</t>
        </is>
      </c>
      <c r="C33" s="22" t="n">
        <v>5</v>
      </c>
      <c r="D33" s="23" t="n">
        <v>446.85</v>
      </c>
      <c r="E33" s="23" t="n">
        <v>89.37</v>
      </c>
      <c r="F33" s="24" t="n">
        <v>44952</v>
      </c>
      <c r="G33" s="24" t="n">
        <v>45611</v>
      </c>
      <c r="H33" s="22" t="inlineStr">
        <is>
          <t>Regular</t>
        </is>
      </c>
    </row>
    <row r="34">
      <c r="A34" s="19" t="inlineStr">
        <is>
          <t>CUST-0027</t>
        </is>
      </c>
      <c r="B34" s="19" t="inlineStr">
        <is>
          <t>Amelia Wilson</t>
        </is>
      </c>
      <c r="C34" s="19" t="n">
        <v>5</v>
      </c>
      <c r="D34" s="20" t="n">
        <v>443.73</v>
      </c>
      <c r="E34" s="20" t="n">
        <v>88.75</v>
      </c>
      <c r="F34" s="21" t="n">
        <v>45012</v>
      </c>
      <c r="G34" s="21" t="n">
        <v>45429</v>
      </c>
      <c r="H34" s="19" t="inlineStr">
        <is>
          <t>At Risk</t>
        </is>
      </c>
    </row>
    <row r="35">
      <c r="A35" s="19" t="inlineStr">
        <is>
          <t>CUST-0146</t>
        </is>
      </c>
      <c r="B35" s="19" t="inlineStr">
        <is>
          <t>Noah Lee</t>
        </is>
      </c>
      <c r="C35" s="19" t="n">
        <v>5</v>
      </c>
      <c r="D35" s="20" t="n">
        <v>440.31</v>
      </c>
      <c r="E35" s="20" t="n">
        <v>88.06</v>
      </c>
      <c r="F35" s="21" t="n">
        <v>45239</v>
      </c>
      <c r="G35" s="21" t="n">
        <v>45463</v>
      </c>
      <c r="H35" s="19" t="inlineStr">
        <is>
          <t>At Risk</t>
        </is>
      </c>
    </row>
    <row r="36">
      <c r="A36" s="22" t="inlineStr">
        <is>
          <t>CUST-0058</t>
        </is>
      </c>
      <c r="B36" s="22" t="inlineStr">
        <is>
          <t>Evelyn Jackson</t>
        </is>
      </c>
      <c r="C36" s="22" t="n">
        <v>7</v>
      </c>
      <c r="D36" s="23" t="n">
        <v>438.84</v>
      </c>
      <c r="E36" s="23" t="n">
        <v>62.69</v>
      </c>
      <c r="F36" s="24" t="n">
        <v>45173</v>
      </c>
      <c r="G36" s="24" t="n">
        <v>45653</v>
      </c>
      <c r="H36" s="22" t="inlineStr">
        <is>
          <t>Regular</t>
        </is>
      </c>
    </row>
    <row r="37">
      <c r="A37" s="22" t="inlineStr">
        <is>
          <t>CUST-0015</t>
        </is>
      </c>
      <c r="B37" s="22" t="inlineStr">
        <is>
          <t>Liam Campbell</t>
        </is>
      </c>
      <c r="C37" s="22" t="n">
        <v>5</v>
      </c>
      <c r="D37" s="23" t="n">
        <v>419.58</v>
      </c>
      <c r="E37" s="23" t="n">
        <v>83.92</v>
      </c>
      <c r="F37" s="24" t="n">
        <v>45208</v>
      </c>
      <c r="G37" s="24" t="n">
        <v>45576</v>
      </c>
      <c r="H37" s="22" t="inlineStr">
        <is>
          <t>Regular</t>
        </is>
      </c>
    </row>
    <row r="38">
      <c r="A38" s="22" t="inlineStr">
        <is>
          <t>CUST-0056</t>
        </is>
      </c>
      <c r="B38" s="22" t="inlineStr">
        <is>
          <t>Klaus Harris</t>
        </is>
      </c>
      <c r="C38" s="22" t="n">
        <v>3</v>
      </c>
      <c r="D38" s="23" t="n">
        <v>418.11</v>
      </c>
      <c r="E38" s="23" t="n">
        <v>139.37</v>
      </c>
      <c r="F38" s="24" t="n">
        <v>45329</v>
      </c>
      <c r="G38" s="24" t="n">
        <v>45607</v>
      </c>
      <c r="H38" s="22" t="inlineStr">
        <is>
          <t>Regular</t>
        </is>
      </c>
    </row>
    <row r="39">
      <c r="A39" s="22" t="inlineStr">
        <is>
          <t>CUST-0095</t>
        </is>
      </c>
      <c r="B39" s="22" t="inlineStr">
        <is>
          <t>Charlotte Brown</t>
        </is>
      </c>
      <c r="C39" s="22" t="n">
        <v>5</v>
      </c>
      <c r="D39" s="23" t="n">
        <v>409.88</v>
      </c>
      <c r="E39" s="23" t="n">
        <v>81.98</v>
      </c>
      <c r="F39" s="24" t="n">
        <v>45392</v>
      </c>
      <c r="G39" s="24" t="n">
        <v>45629</v>
      </c>
      <c r="H39" s="22" t="inlineStr">
        <is>
          <t>Regular</t>
        </is>
      </c>
    </row>
    <row r="40">
      <c r="A40" s="19" t="inlineStr">
        <is>
          <t>CUST-0069</t>
        </is>
      </c>
      <c r="B40" s="19" t="inlineStr">
        <is>
          <t>Emma Moreau</t>
        </is>
      </c>
      <c r="C40" s="19" t="n">
        <v>7</v>
      </c>
      <c r="D40" s="20" t="n">
        <v>401.67</v>
      </c>
      <c r="E40" s="20" t="n">
        <v>57.38</v>
      </c>
      <c r="F40" s="21" t="n">
        <v>44948</v>
      </c>
      <c r="G40" s="21" t="n">
        <v>45514</v>
      </c>
      <c r="H40" s="19" t="inlineStr">
        <is>
          <t>At Risk</t>
        </is>
      </c>
    </row>
    <row r="41">
      <c r="A41" s="19" t="inlineStr">
        <is>
          <t>CUST-0133</t>
        </is>
      </c>
      <c r="B41" s="19" t="inlineStr">
        <is>
          <t>Charlotte Singh</t>
        </is>
      </c>
      <c r="C41" s="19" t="n">
        <v>5</v>
      </c>
      <c r="D41" s="20" t="n">
        <v>394.77</v>
      </c>
      <c r="E41" s="20" t="n">
        <v>78.95</v>
      </c>
      <c r="F41" s="21" t="n">
        <v>45032</v>
      </c>
      <c r="G41" s="21" t="n">
        <v>45449</v>
      </c>
      <c r="H41" s="19" t="inlineStr">
        <is>
          <t>At Risk</t>
        </is>
      </c>
    </row>
    <row r="42">
      <c r="A42" s="22" t="inlineStr">
        <is>
          <t>CUST-0102</t>
        </is>
      </c>
      <c r="B42" s="22" t="inlineStr">
        <is>
          <t>Ahmed Jackson</t>
        </is>
      </c>
      <c r="C42" s="22" t="n">
        <v>6</v>
      </c>
      <c r="D42" s="23" t="n">
        <v>390.28</v>
      </c>
      <c r="E42" s="23" t="n">
        <v>65.05</v>
      </c>
      <c r="F42" s="24" t="n">
        <v>44988</v>
      </c>
      <c r="G42" s="24" t="n">
        <v>45656</v>
      </c>
      <c r="H42" s="22" t="inlineStr">
        <is>
          <t>Regular</t>
        </is>
      </c>
    </row>
    <row r="43">
      <c r="A43" s="22" t="inlineStr">
        <is>
          <t>CUST-0045</t>
        </is>
      </c>
      <c r="B43" s="22" t="inlineStr">
        <is>
          <t>Sophie Smith</t>
        </is>
      </c>
      <c r="C43" s="22" t="n">
        <v>4</v>
      </c>
      <c r="D43" s="23" t="n">
        <v>384.83</v>
      </c>
      <c r="E43" s="23" t="n">
        <v>96.20999999999999</v>
      </c>
      <c r="F43" s="24" t="n">
        <v>45124</v>
      </c>
      <c r="G43" s="24" t="n">
        <v>45626</v>
      </c>
      <c r="H43" s="22" t="inlineStr">
        <is>
          <t>Regular</t>
        </is>
      </c>
    </row>
    <row r="44">
      <c r="A44" s="22" t="inlineStr">
        <is>
          <t>CUST-0135</t>
        </is>
      </c>
      <c r="B44" s="22" t="inlineStr">
        <is>
          <t>Michael Roy</t>
        </is>
      </c>
      <c r="C44" s="22" t="n">
        <v>6</v>
      </c>
      <c r="D44" s="23" t="n">
        <v>383.93</v>
      </c>
      <c r="E44" s="23" t="n">
        <v>63.99</v>
      </c>
      <c r="F44" s="24" t="n">
        <v>44939</v>
      </c>
      <c r="G44" s="24" t="n">
        <v>45628</v>
      </c>
      <c r="H44" s="22" t="inlineStr">
        <is>
          <t>Regular</t>
        </is>
      </c>
    </row>
    <row r="45">
      <c r="A45" s="22" t="inlineStr">
        <is>
          <t>CUST-0034</t>
        </is>
      </c>
      <c r="B45" s="22" t="inlineStr">
        <is>
          <t>Ayse Schmidt</t>
        </is>
      </c>
      <c r="C45" s="22" t="n">
        <v>4</v>
      </c>
      <c r="D45" s="23" t="n">
        <v>370</v>
      </c>
      <c r="E45" s="23" t="n">
        <v>92.5</v>
      </c>
      <c r="F45" s="24" t="n">
        <v>44953</v>
      </c>
      <c r="G45" s="24" t="n">
        <v>45632</v>
      </c>
      <c r="H45" s="22" t="inlineStr">
        <is>
          <t>Regular</t>
        </is>
      </c>
    </row>
    <row r="46">
      <c r="A46" s="22" t="inlineStr">
        <is>
          <t>CUST-0096</t>
        </is>
      </c>
      <c r="B46" s="22" t="inlineStr">
        <is>
          <t>Pierre Brown</t>
        </is>
      </c>
      <c r="C46" s="22" t="n">
        <v>6</v>
      </c>
      <c r="D46" s="23" t="n">
        <v>368.47</v>
      </c>
      <c r="E46" s="23" t="n">
        <v>61.41</v>
      </c>
      <c r="F46" s="24" t="n">
        <v>45025</v>
      </c>
      <c r="G46" s="24" t="n">
        <v>45590</v>
      </c>
      <c r="H46" s="22" t="inlineStr">
        <is>
          <t>Regular</t>
        </is>
      </c>
    </row>
    <row r="47">
      <c r="A47" s="22" t="inlineStr">
        <is>
          <t>CUST-0007</t>
        </is>
      </c>
      <c r="B47" s="22" t="inlineStr">
        <is>
          <t>Sophie Taylor</t>
        </is>
      </c>
      <c r="C47" s="22" t="n">
        <v>3</v>
      </c>
      <c r="D47" s="23" t="n">
        <v>358.09</v>
      </c>
      <c r="E47" s="23" t="n">
        <v>119.36</v>
      </c>
      <c r="F47" s="24" t="n">
        <v>45519</v>
      </c>
      <c r="G47" s="24" t="n">
        <v>45634</v>
      </c>
      <c r="H47" s="22" t="inlineStr">
        <is>
          <t>Regular</t>
        </is>
      </c>
    </row>
    <row r="48">
      <c r="A48" s="22" t="inlineStr">
        <is>
          <t>CUST-0140</t>
        </is>
      </c>
      <c r="B48" s="22" t="inlineStr">
        <is>
          <t>Amelia Lee</t>
        </is>
      </c>
      <c r="C48" s="22" t="n">
        <v>2</v>
      </c>
      <c r="D48" s="23" t="n">
        <v>345.97</v>
      </c>
      <c r="E48" s="23" t="n">
        <v>172.99</v>
      </c>
      <c r="F48" s="24" t="n">
        <v>45355</v>
      </c>
      <c r="G48" s="24" t="n">
        <v>45569</v>
      </c>
      <c r="H48" s="22" t="inlineStr">
        <is>
          <t>Regular</t>
        </is>
      </c>
    </row>
    <row r="49">
      <c r="A49" s="22" t="inlineStr">
        <is>
          <t>CUST-0032</t>
        </is>
      </c>
      <c r="B49" s="22" t="inlineStr">
        <is>
          <t>Noah Thomas</t>
        </is>
      </c>
      <c r="C49" s="22" t="n">
        <v>3</v>
      </c>
      <c r="D49" s="23" t="n">
        <v>343.89</v>
      </c>
      <c r="E49" s="23" t="n">
        <v>114.63</v>
      </c>
      <c r="F49" s="24" t="n">
        <v>45206</v>
      </c>
      <c r="G49" s="24" t="n">
        <v>45615</v>
      </c>
      <c r="H49" s="22" t="inlineStr">
        <is>
          <t>Regular</t>
        </is>
      </c>
    </row>
    <row r="50">
      <c r="A50" s="22" t="inlineStr">
        <is>
          <t>CUST-0042</t>
        </is>
      </c>
      <c r="B50" s="22" t="inlineStr">
        <is>
          <t>Sarah Lefebvre</t>
        </is>
      </c>
      <c r="C50" s="22" t="n">
        <v>5</v>
      </c>
      <c r="D50" s="23" t="n">
        <v>336.82</v>
      </c>
      <c r="E50" s="23" t="n">
        <v>67.36</v>
      </c>
      <c r="F50" s="24" t="n">
        <v>44938</v>
      </c>
      <c r="G50" s="24" t="n">
        <v>45634</v>
      </c>
      <c r="H50" s="22" t="inlineStr">
        <is>
          <t>Regular</t>
        </is>
      </c>
    </row>
    <row r="51">
      <c r="A51" s="19" t="inlineStr">
        <is>
          <t>CUST-0111</t>
        </is>
      </c>
      <c r="B51" s="19" t="inlineStr">
        <is>
          <t>Noah Fischer</t>
        </is>
      </c>
      <c r="C51" s="19" t="n">
        <v>4</v>
      </c>
      <c r="D51" s="20" t="n">
        <v>336.29</v>
      </c>
      <c r="E51" s="20" t="n">
        <v>84.06999999999999</v>
      </c>
      <c r="F51" s="21" t="n">
        <v>45007</v>
      </c>
      <c r="G51" s="21" t="n">
        <v>45341</v>
      </c>
      <c r="H51" s="19" t="inlineStr">
        <is>
          <t>At Risk</t>
        </is>
      </c>
    </row>
    <row r="52">
      <c r="A52" s="22" t="inlineStr">
        <is>
          <t>CUST-0112</t>
        </is>
      </c>
      <c r="B52" s="22" t="inlineStr">
        <is>
          <t>Alexander Rodriguez</t>
        </is>
      </c>
      <c r="C52" s="22" t="n">
        <v>4</v>
      </c>
      <c r="D52" s="23" t="n">
        <v>332.45</v>
      </c>
      <c r="E52" s="23" t="n">
        <v>83.11</v>
      </c>
      <c r="F52" s="24" t="n">
        <v>45288</v>
      </c>
      <c r="G52" s="24" t="n">
        <v>45656</v>
      </c>
      <c r="H52" s="22" t="inlineStr">
        <is>
          <t>Regular</t>
        </is>
      </c>
    </row>
    <row r="53">
      <c r="A53" s="19" t="inlineStr">
        <is>
          <t>CUST-0039</t>
        </is>
      </c>
      <c r="B53" s="19" t="inlineStr">
        <is>
          <t>Ethan Rodriguez</t>
        </is>
      </c>
      <c r="C53" s="19" t="n">
        <v>4</v>
      </c>
      <c r="D53" s="20" t="n">
        <v>328.49</v>
      </c>
      <c r="E53" s="20" t="n">
        <v>82.12</v>
      </c>
      <c r="F53" s="21" t="n">
        <v>44982</v>
      </c>
      <c r="G53" s="21" t="n">
        <v>45351</v>
      </c>
      <c r="H53" s="19" t="inlineStr">
        <is>
          <t>At Risk</t>
        </is>
      </c>
    </row>
    <row r="54">
      <c r="A54" s="19" t="inlineStr">
        <is>
          <t>CUST-0136</t>
        </is>
      </c>
      <c r="B54" s="19" t="inlineStr">
        <is>
          <t>Amelia Wilson</t>
        </is>
      </c>
      <c r="C54" s="19" t="n">
        <v>5</v>
      </c>
      <c r="D54" s="20" t="n">
        <v>315.99</v>
      </c>
      <c r="E54" s="20" t="n">
        <v>63.2</v>
      </c>
      <c r="F54" s="21" t="n">
        <v>44931</v>
      </c>
      <c r="G54" s="21" t="n">
        <v>45550</v>
      </c>
      <c r="H54" s="19" t="inlineStr">
        <is>
          <t>At Risk</t>
        </is>
      </c>
    </row>
    <row r="55">
      <c r="A55" s="19" t="inlineStr">
        <is>
          <t>CUST-0059</t>
        </is>
      </c>
      <c r="B55" s="19" t="inlineStr">
        <is>
          <t>Ahmed Garcia</t>
        </is>
      </c>
      <c r="C55" s="19" t="n">
        <v>4</v>
      </c>
      <c r="D55" s="20" t="n">
        <v>308.28</v>
      </c>
      <c r="E55" s="20" t="n">
        <v>77.06999999999999</v>
      </c>
      <c r="F55" s="21" t="n">
        <v>44999</v>
      </c>
      <c r="G55" s="21" t="n">
        <v>45516</v>
      </c>
      <c r="H55" s="19" t="inlineStr">
        <is>
          <t>At Risk</t>
        </is>
      </c>
    </row>
    <row r="56">
      <c r="A56" s="22" t="inlineStr">
        <is>
          <t>CUST-0124</t>
        </is>
      </c>
      <c r="B56" s="22" t="inlineStr">
        <is>
          <t>Harper Williams</t>
        </is>
      </c>
      <c r="C56" s="22" t="n">
        <v>5</v>
      </c>
      <c r="D56" s="23" t="n">
        <v>307.53</v>
      </c>
      <c r="E56" s="23" t="n">
        <v>61.51</v>
      </c>
      <c r="F56" s="24" t="n">
        <v>45060</v>
      </c>
      <c r="G56" s="24" t="n">
        <v>45609</v>
      </c>
      <c r="H56" s="22" t="inlineStr">
        <is>
          <t>Regular</t>
        </is>
      </c>
    </row>
    <row r="57">
      <c r="A57" s="19" t="inlineStr">
        <is>
          <t>CUST-0139</t>
        </is>
      </c>
      <c r="B57" s="19" t="inlineStr">
        <is>
          <t>Michael Kim</t>
        </is>
      </c>
      <c r="C57" s="19" t="n">
        <v>2</v>
      </c>
      <c r="D57" s="20" t="n">
        <v>303.88</v>
      </c>
      <c r="E57" s="20" t="n">
        <v>151.94</v>
      </c>
      <c r="F57" s="21" t="n">
        <v>44928</v>
      </c>
      <c r="G57" s="21" t="n">
        <v>45490</v>
      </c>
      <c r="H57" s="19" t="inlineStr">
        <is>
          <t>At Risk</t>
        </is>
      </c>
    </row>
    <row r="58">
      <c r="A58" s="19" t="inlineStr">
        <is>
          <t>CUST-0147</t>
        </is>
      </c>
      <c r="B58" s="19" t="inlineStr">
        <is>
          <t>Hans Schmidt</t>
        </is>
      </c>
      <c r="C58" s="19" t="n">
        <v>6</v>
      </c>
      <c r="D58" s="20" t="n">
        <v>303.63</v>
      </c>
      <c r="E58" s="20" t="n">
        <v>50.61</v>
      </c>
      <c r="F58" s="21" t="n">
        <v>44928</v>
      </c>
      <c r="G58" s="21" t="n">
        <v>45366</v>
      </c>
      <c r="H58" s="19" t="inlineStr">
        <is>
          <t>At Risk</t>
        </is>
      </c>
    </row>
    <row r="59">
      <c r="A59" s="19" t="inlineStr">
        <is>
          <t>CUST-0052</t>
        </is>
      </c>
      <c r="B59" s="19" t="inlineStr">
        <is>
          <t>Oliver Chen</t>
        </is>
      </c>
      <c r="C59" s="19" t="n">
        <v>4</v>
      </c>
      <c r="D59" s="20" t="n">
        <v>302.92</v>
      </c>
      <c r="E59" s="20" t="n">
        <v>75.73</v>
      </c>
      <c r="F59" s="21" t="n">
        <v>44971</v>
      </c>
      <c r="G59" s="21" t="n">
        <v>45555</v>
      </c>
      <c r="H59" s="19" t="inlineStr">
        <is>
          <t>At Risk</t>
        </is>
      </c>
    </row>
    <row r="60">
      <c r="A60" s="22" t="inlineStr">
        <is>
          <t>CUST-0093</t>
        </is>
      </c>
      <c r="B60" s="22" t="inlineStr">
        <is>
          <t>David Weber</t>
        </is>
      </c>
      <c r="C60" s="22" t="n">
        <v>5</v>
      </c>
      <c r="D60" s="23" t="n">
        <v>302.37</v>
      </c>
      <c r="E60" s="23" t="n">
        <v>60.47</v>
      </c>
      <c r="F60" s="24" t="n">
        <v>44978</v>
      </c>
      <c r="G60" s="24" t="n">
        <v>45647</v>
      </c>
      <c r="H60" s="22" t="inlineStr">
        <is>
          <t>Regular</t>
        </is>
      </c>
    </row>
    <row r="61">
      <c r="A61" s="22" t="inlineStr">
        <is>
          <t>CUST-0060</t>
        </is>
      </c>
      <c r="B61" s="22" t="inlineStr">
        <is>
          <t>Ayse Jones</t>
        </is>
      </c>
      <c r="C61" s="22" t="n">
        <v>6</v>
      </c>
      <c r="D61" s="23" t="n">
        <v>297.06</v>
      </c>
      <c r="E61" s="23" t="n">
        <v>49.51</v>
      </c>
      <c r="F61" s="24" t="n">
        <v>45223</v>
      </c>
      <c r="G61" s="24" t="n">
        <v>45618</v>
      </c>
      <c r="H61" s="22" t="inlineStr">
        <is>
          <t>Regular</t>
        </is>
      </c>
    </row>
    <row r="62">
      <c r="A62" s="22" t="inlineStr">
        <is>
          <t>CUST-0018</t>
        </is>
      </c>
      <c r="B62" s="22" t="inlineStr">
        <is>
          <t>Camila Bernard</t>
        </is>
      </c>
      <c r="C62" s="22" t="n">
        <v>5</v>
      </c>
      <c r="D62" s="23" t="n">
        <v>296.74</v>
      </c>
      <c r="E62" s="23" t="n">
        <v>59.35</v>
      </c>
      <c r="F62" s="24" t="n">
        <v>45156</v>
      </c>
      <c r="G62" s="24" t="n">
        <v>45647</v>
      </c>
      <c r="H62" s="22" t="inlineStr">
        <is>
          <t>Regular</t>
        </is>
      </c>
    </row>
    <row r="63">
      <c r="A63" s="19" t="inlineStr">
        <is>
          <t>CUST-0016</t>
        </is>
      </c>
      <c r="B63" s="19" t="inlineStr">
        <is>
          <t>Daniel Garcia</t>
        </is>
      </c>
      <c r="C63" s="19" t="n">
        <v>5</v>
      </c>
      <c r="D63" s="20" t="n">
        <v>296.4</v>
      </c>
      <c r="E63" s="20" t="n">
        <v>59.28</v>
      </c>
      <c r="F63" s="21" t="n">
        <v>45001</v>
      </c>
      <c r="G63" s="21" t="n">
        <v>45482</v>
      </c>
      <c r="H63" s="19" t="inlineStr">
        <is>
          <t>At Risk</t>
        </is>
      </c>
    </row>
    <row r="64">
      <c r="A64" s="19" t="inlineStr">
        <is>
          <t>CUST-0071</t>
        </is>
      </c>
      <c r="B64" s="19" t="inlineStr">
        <is>
          <t>Emily Chen</t>
        </is>
      </c>
      <c r="C64" s="19" t="n">
        <v>5</v>
      </c>
      <c r="D64" s="20" t="n">
        <v>293.27</v>
      </c>
      <c r="E64" s="20" t="n">
        <v>58.65</v>
      </c>
      <c r="F64" s="21" t="n">
        <v>45056</v>
      </c>
      <c r="G64" s="21" t="n">
        <v>45515</v>
      </c>
      <c r="H64" s="19" t="inlineStr">
        <is>
          <t>At Risk</t>
        </is>
      </c>
    </row>
    <row r="65">
      <c r="A65" s="19" t="inlineStr">
        <is>
          <t>CUST-0075</t>
        </is>
      </c>
      <c r="B65" s="19" t="inlineStr">
        <is>
          <t>Elijah Bernard</t>
        </is>
      </c>
      <c r="C65" s="19" t="n">
        <v>4</v>
      </c>
      <c r="D65" s="20" t="n">
        <v>288.32</v>
      </c>
      <c r="E65" s="20" t="n">
        <v>72.08</v>
      </c>
      <c r="F65" s="21" t="n">
        <v>45074</v>
      </c>
      <c r="G65" s="21" t="n">
        <v>45408</v>
      </c>
      <c r="H65" s="19" t="inlineStr">
        <is>
          <t>At Risk</t>
        </is>
      </c>
    </row>
    <row r="66">
      <c r="A66" s="22" t="inlineStr">
        <is>
          <t>CUST-0063</t>
        </is>
      </c>
      <c r="B66" s="22" t="inlineStr">
        <is>
          <t>Marie Tremblay</t>
        </is>
      </c>
      <c r="C66" s="22" t="n">
        <v>4</v>
      </c>
      <c r="D66" s="23" t="n">
        <v>286.58</v>
      </c>
      <c r="E66" s="23" t="n">
        <v>71.65000000000001</v>
      </c>
      <c r="F66" s="24" t="n">
        <v>45004</v>
      </c>
      <c r="G66" s="24" t="n">
        <v>45624</v>
      </c>
      <c r="H66" s="22" t="inlineStr">
        <is>
          <t>Regular</t>
        </is>
      </c>
    </row>
    <row r="67">
      <c r="A67" s="22" t="inlineStr">
        <is>
          <t>CUST-0123</t>
        </is>
      </c>
      <c r="B67" s="22" t="inlineStr">
        <is>
          <t>Olivia Garcia</t>
        </is>
      </c>
      <c r="C67" s="22" t="n">
        <v>6</v>
      </c>
      <c r="D67" s="23" t="n">
        <v>285.48</v>
      </c>
      <c r="E67" s="23" t="n">
        <v>47.58</v>
      </c>
      <c r="F67" s="24" t="n">
        <v>45063</v>
      </c>
      <c r="G67" s="24" t="n">
        <v>45639</v>
      </c>
      <c r="H67" s="22" t="inlineStr">
        <is>
          <t>Regular</t>
        </is>
      </c>
    </row>
    <row r="68">
      <c r="A68" s="22" t="inlineStr">
        <is>
          <t>CUST-0011</t>
        </is>
      </c>
      <c r="B68" s="22" t="inlineStr">
        <is>
          <t>Luna Lee</t>
        </is>
      </c>
      <c r="C68" s="22" t="n">
        <v>3</v>
      </c>
      <c r="D68" s="23" t="n">
        <v>284.32</v>
      </c>
      <c r="E68" s="23" t="n">
        <v>94.77</v>
      </c>
      <c r="F68" s="24" t="n">
        <v>45056</v>
      </c>
      <c r="G68" s="24" t="n">
        <v>45648</v>
      </c>
      <c r="H68" s="22" t="inlineStr">
        <is>
          <t>Regular</t>
        </is>
      </c>
    </row>
    <row r="69">
      <c r="A69" s="22" t="inlineStr">
        <is>
          <t>CUST-0113</t>
        </is>
      </c>
      <c r="B69" s="22" t="inlineStr">
        <is>
          <t>Noah Jackson</t>
        </is>
      </c>
      <c r="C69" s="22" t="n">
        <v>4</v>
      </c>
      <c r="D69" s="23" t="n">
        <v>279.8</v>
      </c>
      <c r="E69" s="23" t="n">
        <v>69.95</v>
      </c>
      <c r="F69" s="24" t="n">
        <v>44969</v>
      </c>
      <c r="G69" s="24" t="n">
        <v>45651</v>
      </c>
      <c r="H69" s="22" t="inlineStr">
        <is>
          <t>Regular</t>
        </is>
      </c>
    </row>
    <row r="70">
      <c r="A70" s="22" t="inlineStr">
        <is>
          <t>CUST-0086</t>
        </is>
      </c>
      <c r="B70" s="22" t="inlineStr">
        <is>
          <t>Sophie Miller</t>
        </is>
      </c>
      <c r="C70" s="22" t="n">
        <v>4</v>
      </c>
      <c r="D70" s="23" t="n">
        <v>279.63</v>
      </c>
      <c r="E70" s="23" t="n">
        <v>69.91</v>
      </c>
      <c r="F70" s="24" t="n">
        <v>44936</v>
      </c>
      <c r="G70" s="24" t="n">
        <v>45592</v>
      </c>
      <c r="H70" s="22" t="inlineStr">
        <is>
          <t>Regular</t>
        </is>
      </c>
    </row>
    <row r="71">
      <c r="A71" s="22" t="inlineStr">
        <is>
          <t>CUST-0082</t>
        </is>
      </c>
      <c r="B71" s="22" t="inlineStr">
        <is>
          <t>Oliver Jackson</t>
        </is>
      </c>
      <c r="C71" s="22" t="n">
        <v>5</v>
      </c>
      <c r="D71" s="23" t="n">
        <v>270.27</v>
      </c>
      <c r="E71" s="23" t="n">
        <v>54.05</v>
      </c>
      <c r="F71" s="24" t="n">
        <v>45191</v>
      </c>
      <c r="G71" s="24" t="n">
        <v>45603</v>
      </c>
      <c r="H71" s="22" t="inlineStr">
        <is>
          <t>Regular</t>
        </is>
      </c>
    </row>
    <row r="72">
      <c r="A72" s="22" t="inlineStr">
        <is>
          <t>CUST-0083</t>
        </is>
      </c>
      <c r="B72" s="22" t="inlineStr">
        <is>
          <t>Pierre Wilson</t>
        </is>
      </c>
      <c r="C72" s="22" t="n">
        <v>5</v>
      </c>
      <c r="D72" s="23" t="n">
        <v>268.54</v>
      </c>
      <c r="E72" s="23" t="n">
        <v>53.71</v>
      </c>
      <c r="F72" s="24" t="n">
        <v>44967</v>
      </c>
      <c r="G72" s="24" t="n">
        <v>45591</v>
      </c>
      <c r="H72" s="22" t="inlineStr">
        <is>
          <t>Regular</t>
        </is>
      </c>
    </row>
    <row r="73">
      <c r="A73" s="22" t="inlineStr">
        <is>
          <t>CUST-0003</t>
        </is>
      </c>
      <c r="B73" s="22" t="inlineStr">
        <is>
          <t>Anna Miller</t>
        </is>
      </c>
      <c r="C73" s="22" t="n">
        <v>2</v>
      </c>
      <c r="D73" s="23" t="n">
        <v>262.08</v>
      </c>
      <c r="E73" s="23" t="n">
        <v>131.04</v>
      </c>
      <c r="F73" s="24" t="n">
        <v>45294</v>
      </c>
      <c r="G73" s="24" t="n">
        <v>45591</v>
      </c>
      <c r="H73" s="22" t="inlineStr">
        <is>
          <t>Regular</t>
        </is>
      </c>
    </row>
    <row r="74">
      <c r="A74" s="22" t="inlineStr">
        <is>
          <t>CUST-0132</t>
        </is>
      </c>
      <c r="B74" s="22" t="inlineStr">
        <is>
          <t>Camila Williams</t>
        </is>
      </c>
      <c r="C74" s="22" t="n">
        <v>4</v>
      </c>
      <c r="D74" s="23" t="n">
        <v>261.93</v>
      </c>
      <c r="E74" s="23" t="n">
        <v>65.48</v>
      </c>
      <c r="F74" s="24" t="n">
        <v>45310</v>
      </c>
      <c r="G74" s="24" t="n">
        <v>45571</v>
      </c>
      <c r="H74" s="22" t="inlineStr">
        <is>
          <t>Regular</t>
        </is>
      </c>
    </row>
    <row r="75">
      <c r="A75" s="22" t="inlineStr">
        <is>
          <t>CUST-0008</t>
        </is>
      </c>
      <c r="B75" s="22" t="inlineStr">
        <is>
          <t>William Fischer</t>
        </is>
      </c>
      <c r="C75" s="22" t="n">
        <v>4</v>
      </c>
      <c r="D75" s="23" t="n">
        <v>259.94</v>
      </c>
      <c r="E75" s="23" t="n">
        <v>64.98999999999999</v>
      </c>
      <c r="F75" s="24" t="n">
        <v>45424</v>
      </c>
      <c r="G75" s="24" t="n">
        <v>45624</v>
      </c>
      <c r="H75" s="22" t="inlineStr">
        <is>
          <t>Regular</t>
        </is>
      </c>
    </row>
    <row r="76">
      <c r="A76" s="19" t="inlineStr">
        <is>
          <t>CUST-0129</t>
        </is>
      </c>
      <c r="B76" s="19" t="inlineStr">
        <is>
          <t>William Martinez</t>
        </is>
      </c>
      <c r="C76" s="19" t="n">
        <v>3</v>
      </c>
      <c r="D76" s="20" t="n">
        <v>250.1</v>
      </c>
      <c r="E76" s="20" t="n">
        <v>83.37</v>
      </c>
      <c r="F76" s="21" t="n">
        <v>45109</v>
      </c>
      <c r="G76" s="21" t="n">
        <v>45529</v>
      </c>
      <c r="H76" s="19" t="inlineStr">
        <is>
          <t>At Risk</t>
        </is>
      </c>
    </row>
    <row r="77">
      <c r="A77" s="19" t="inlineStr">
        <is>
          <t>CUST-0122</t>
        </is>
      </c>
      <c r="B77" s="19" t="inlineStr">
        <is>
          <t>Alexander Ozturk</t>
        </is>
      </c>
      <c r="C77" s="19" t="n">
        <v>5</v>
      </c>
      <c r="D77" s="20" t="n">
        <v>249.64</v>
      </c>
      <c r="E77" s="20" t="n">
        <v>49.93</v>
      </c>
      <c r="F77" s="21" t="n">
        <v>45177</v>
      </c>
      <c r="G77" s="21" t="n">
        <v>45561</v>
      </c>
      <c r="H77" s="19" t="inlineStr">
        <is>
          <t>At Risk</t>
        </is>
      </c>
    </row>
    <row r="78">
      <c r="A78" s="22" t="inlineStr">
        <is>
          <t>CUST-0091</t>
        </is>
      </c>
      <c r="B78" s="22" t="inlineStr">
        <is>
          <t>James Mueller</t>
        </is>
      </c>
      <c r="C78" s="22" t="n">
        <v>3</v>
      </c>
      <c r="D78" s="23" t="n">
        <v>248.26</v>
      </c>
      <c r="E78" s="23" t="n">
        <v>82.75</v>
      </c>
      <c r="F78" s="24" t="n">
        <v>45276</v>
      </c>
      <c r="G78" s="24" t="n">
        <v>45611</v>
      </c>
      <c r="H78" s="22" t="inlineStr">
        <is>
          <t>Regular</t>
        </is>
      </c>
    </row>
    <row r="79">
      <c r="A79" s="22" t="inlineStr">
        <is>
          <t>CUST-0068</t>
        </is>
      </c>
      <c r="B79" s="22" t="inlineStr">
        <is>
          <t>Amelia Moore</t>
        </is>
      </c>
      <c r="C79" s="22" t="n">
        <v>3</v>
      </c>
      <c r="D79" s="23" t="n">
        <v>245.3</v>
      </c>
      <c r="E79" s="23" t="n">
        <v>81.77</v>
      </c>
      <c r="F79" s="24" t="n">
        <v>44992</v>
      </c>
      <c r="G79" s="24" t="n">
        <v>45603</v>
      </c>
      <c r="H79" s="22" t="inlineStr">
        <is>
          <t>Regular</t>
        </is>
      </c>
    </row>
    <row r="80">
      <c r="A80" s="19" t="inlineStr">
        <is>
          <t>CUST-0142</t>
        </is>
      </c>
      <c r="B80" s="19" t="inlineStr">
        <is>
          <t>Liam Fraser</t>
        </is>
      </c>
      <c r="C80" s="19" t="n">
        <v>2</v>
      </c>
      <c r="D80" s="20" t="n">
        <v>242.5</v>
      </c>
      <c r="E80" s="20" t="n">
        <v>121.25</v>
      </c>
      <c r="F80" s="21" t="n">
        <v>44963</v>
      </c>
      <c r="G80" s="21" t="n">
        <v>45015</v>
      </c>
      <c r="H80" s="19" t="inlineStr">
        <is>
          <t>At Risk</t>
        </is>
      </c>
    </row>
    <row r="81">
      <c r="A81" s="22" t="inlineStr">
        <is>
          <t>CUST-0019</t>
        </is>
      </c>
      <c r="B81" s="22" t="inlineStr">
        <is>
          <t>Noah Williams</t>
        </is>
      </c>
      <c r="C81" s="22" t="n">
        <v>4</v>
      </c>
      <c r="D81" s="23" t="n">
        <v>239.86</v>
      </c>
      <c r="E81" s="23" t="n">
        <v>59.96</v>
      </c>
      <c r="F81" s="24" t="n">
        <v>45034</v>
      </c>
      <c r="G81" s="24" t="n">
        <v>45589</v>
      </c>
      <c r="H81" s="22" t="inlineStr">
        <is>
          <t>Regular</t>
        </is>
      </c>
    </row>
    <row r="82">
      <c r="A82" s="19" t="inlineStr">
        <is>
          <t>CUST-0053</t>
        </is>
      </c>
      <c r="B82" s="19" t="inlineStr">
        <is>
          <t>Jean Ozturk</t>
        </is>
      </c>
      <c r="C82" s="19" t="n">
        <v>2</v>
      </c>
      <c r="D82" s="20" t="n">
        <v>239.73</v>
      </c>
      <c r="E82" s="20" t="n">
        <v>119.86</v>
      </c>
      <c r="F82" s="21" t="n">
        <v>44970</v>
      </c>
      <c r="G82" s="21" t="n">
        <v>44979</v>
      </c>
      <c r="H82" s="19" t="inlineStr">
        <is>
          <t>At Risk</t>
        </is>
      </c>
    </row>
    <row r="83">
      <c r="A83" s="22" t="inlineStr">
        <is>
          <t>CUST-0117</t>
        </is>
      </c>
      <c r="B83" s="22" t="inlineStr">
        <is>
          <t>Sophie White</t>
        </is>
      </c>
      <c r="C83" s="22" t="n">
        <v>2</v>
      </c>
      <c r="D83" s="23" t="n">
        <v>234.1</v>
      </c>
      <c r="E83" s="23" t="n">
        <v>117.05</v>
      </c>
      <c r="F83" s="24" t="n">
        <v>44964</v>
      </c>
      <c r="G83" s="24" t="n">
        <v>45597</v>
      </c>
      <c r="H83" s="22" t="inlineStr">
        <is>
          <t>Regular</t>
        </is>
      </c>
    </row>
    <row r="84">
      <c r="A84" s="19" t="inlineStr">
        <is>
          <t>CUST-0065</t>
        </is>
      </c>
      <c r="B84" s="19" t="inlineStr">
        <is>
          <t>William Taylor</t>
        </is>
      </c>
      <c r="C84" s="19" t="n">
        <v>2</v>
      </c>
      <c r="D84" s="20" t="n">
        <v>232.83</v>
      </c>
      <c r="E84" s="20" t="n">
        <v>116.41</v>
      </c>
      <c r="F84" s="21" t="n">
        <v>45109</v>
      </c>
      <c r="G84" s="21" t="n">
        <v>45156</v>
      </c>
      <c r="H84" s="19" t="inlineStr">
        <is>
          <t>At Risk</t>
        </is>
      </c>
    </row>
    <row r="85">
      <c r="A85" s="22" t="inlineStr">
        <is>
          <t>CUST-0026</t>
        </is>
      </c>
      <c r="B85" s="22" t="inlineStr">
        <is>
          <t>Jean Wilson</t>
        </is>
      </c>
      <c r="C85" s="22" t="n">
        <v>3</v>
      </c>
      <c r="D85" s="23" t="n">
        <v>232.28</v>
      </c>
      <c r="E85" s="23" t="n">
        <v>77.43000000000001</v>
      </c>
      <c r="F85" s="24" t="n">
        <v>45410</v>
      </c>
      <c r="G85" s="24" t="n">
        <v>45639</v>
      </c>
      <c r="H85" s="22" t="inlineStr">
        <is>
          <t>Regular</t>
        </is>
      </c>
    </row>
    <row r="86">
      <c r="A86" s="22" t="inlineStr">
        <is>
          <t>CUST-0128</t>
        </is>
      </c>
      <c r="B86" s="22" t="inlineStr">
        <is>
          <t>Sophia Jones</t>
        </is>
      </c>
      <c r="C86" s="22" t="n">
        <v>4</v>
      </c>
      <c r="D86" s="23" t="n">
        <v>230.75</v>
      </c>
      <c r="E86" s="23" t="n">
        <v>57.69</v>
      </c>
      <c r="F86" s="24" t="n">
        <v>45011</v>
      </c>
      <c r="G86" s="24" t="n">
        <v>45616</v>
      </c>
      <c r="H86" s="22" t="inlineStr">
        <is>
          <t>Regular</t>
        </is>
      </c>
    </row>
    <row r="87">
      <c r="A87" s="19" t="inlineStr">
        <is>
          <t>CUST-0067</t>
        </is>
      </c>
      <c r="B87" s="19" t="inlineStr">
        <is>
          <t>Owen Demir</t>
        </is>
      </c>
      <c r="C87" s="19" t="n">
        <v>3</v>
      </c>
      <c r="D87" s="20" t="n">
        <v>229.42</v>
      </c>
      <c r="E87" s="20" t="n">
        <v>76.47</v>
      </c>
      <c r="F87" s="21" t="n">
        <v>44943</v>
      </c>
      <c r="G87" s="21" t="n">
        <v>45349</v>
      </c>
      <c r="H87" s="19" t="inlineStr">
        <is>
          <t>At Risk</t>
        </is>
      </c>
    </row>
    <row r="88">
      <c r="A88" s="19" t="inlineStr">
        <is>
          <t>CUST-0104</t>
        </is>
      </c>
      <c r="B88" s="19" t="inlineStr">
        <is>
          <t>Robert Moreau</t>
        </is>
      </c>
      <c r="C88" s="19" t="n">
        <v>2</v>
      </c>
      <c r="D88" s="20" t="n">
        <v>228.13</v>
      </c>
      <c r="E88" s="20" t="n">
        <v>114.06</v>
      </c>
      <c r="F88" s="21" t="n">
        <v>45022</v>
      </c>
      <c r="G88" s="21" t="n">
        <v>45209</v>
      </c>
      <c r="H88" s="19" t="inlineStr">
        <is>
          <t>At Risk</t>
        </is>
      </c>
    </row>
    <row r="89">
      <c r="A89" s="19" t="inlineStr">
        <is>
          <t>CUST-0066</t>
        </is>
      </c>
      <c r="B89" s="19" t="inlineStr">
        <is>
          <t>Aria Kim</t>
        </is>
      </c>
      <c r="C89" s="19" t="n">
        <v>2</v>
      </c>
      <c r="D89" s="20" t="n">
        <v>226.33</v>
      </c>
      <c r="E89" s="20" t="n">
        <v>113.16</v>
      </c>
      <c r="F89" s="21" t="n">
        <v>45121</v>
      </c>
      <c r="G89" s="21" t="n">
        <v>45397</v>
      </c>
      <c r="H89" s="19" t="inlineStr">
        <is>
          <t>At Risk</t>
        </is>
      </c>
    </row>
    <row r="90">
      <c r="A90" s="19" t="inlineStr">
        <is>
          <t>CUST-0108</t>
        </is>
      </c>
      <c r="B90" s="19" t="inlineStr">
        <is>
          <t>Evelyn Campbell</t>
        </is>
      </c>
      <c r="C90" s="19" t="n">
        <v>5</v>
      </c>
      <c r="D90" s="20" t="n">
        <v>221.54</v>
      </c>
      <c r="E90" s="20" t="n">
        <v>44.31</v>
      </c>
      <c r="F90" s="21" t="n">
        <v>45170</v>
      </c>
      <c r="G90" s="21" t="n">
        <v>45480</v>
      </c>
      <c r="H90" s="19" t="inlineStr">
        <is>
          <t>At Risk</t>
        </is>
      </c>
    </row>
    <row r="91">
      <c r="A91" s="19" t="inlineStr">
        <is>
          <t>CUST-0038</t>
        </is>
      </c>
      <c r="B91" s="19" t="inlineStr">
        <is>
          <t>Scarlett Moreau</t>
        </is>
      </c>
      <c r="C91" s="19" t="n">
        <v>4</v>
      </c>
      <c r="D91" s="20" t="n">
        <v>220.35</v>
      </c>
      <c r="E91" s="20" t="n">
        <v>55.09</v>
      </c>
      <c r="F91" s="21" t="n">
        <v>44949</v>
      </c>
      <c r="G91" s="21" t="n">
        <v>45562</v>
      </c>
      <c r="H91" s="19" t="inlineStr">
        <is>
          <t>At Risk</t>
        </is>
      </c>
    </row>
    <row r="92">
      <c r="A92" s="22" t="inlineStr">
        <is>
          <t>CUST-0126</t>
        </is>
      </c>
      <c r="B92" s="22" t="inlineStr">
        <is>
          <t>Alexander Wilson</t>
        </is>
      </c>
      <c r="C92" s="22" t="n">
        <v>3</v>
      </c>
      <c r="D92" s="23" t="n">
        <v>218.22</v>
      </c>
      <c r="E92" s="23" t="n">
        <v>72.73999999999999</v>
      </c>
      <c r="F92" s="24" t="n">
        <v>45106</v>
      </c>
      <c r="G92" s="24" t="n">
        <v>45628</v>
      </c>
      <c r="H92" s="22" t="inlineStr">
        <is>
          <t>Regular</t>
        </is>
      </c>
    </row>
    <row r="93">
      <c r="A93" s="22" t="inlineStr">
        <is>
          <t>CUST-0040</t>
        </is>
      </c>
      <c r="B93" s="22" t="inlineStr">
        <is>
          <t>Ava Brown</t>
        </is>
      </c>
      <c r="C93" s="22" t="n">
        <v>4</v>
      </c>
      <c r="D93" s="23" t="n">
        <v>214.15</v>
      </c>
      <c r="E93" s="23" t="n">
        <v>53.54</v>
      </c>
      <c r="F93" s="24" t="n">
        <v>45281</v>
      </c>
      <c r="G93" s="24" t="n">
        <v>45597</v>
      </c>
      <c r="H93" s="22" t="inlineStr">
        <is>
          <t>Regular</t>
        </is>
      </c>
    </row>
    <row r="94">
      <c r="A94" s="22" t="inlineStr">
        <is>
          <t>CUST-0143</t>
        </is>
      </c>
      <c r="B94" s="22" t="inlineStr">
        <is>
          <t>Penelope Yilmaz</t>
        </is>
      </c>
      <c r="C94" s="22" t="n">
        <v>5</v>
      </c>
      <c r="D94" s="23" t="n">
        <v>200.25</v>
      </c>
      <c r="E94" s="23" t="n">
        <v>40.05</v>
      </c>
      <c r="F94" s="24" t="n">
        <v>45104</v>
      </c>
      <c r="G94" s="24" t="n">
        <v>45600</v>
      </c>
      <c r="H94" s="22" t="inlineStr">
        <is>
          <t>Regular</t>
        </is>
      </c>
    </row>
    <row r="95">
      <c r="A95" s="19" t="inlineStr">
        <is>
          <t>CUST-0021</t>
        </is>
      </c>
      <c r="B95" s="19" t="inlineStr">
        <is>
          <t>Ethan Miller</t>
        </is>
      </c>
      <c r="C95" s="19" t="n">
        <v>3</v>
      </c>
      <c r="D95" s="20" t="n">
        <v>192.53</v>
      </c>
      <c r="E95" s="20" t="n">
        <v>64.18000000000001</v>
      </c>
      <c r="F95" s="21" t="n">
        <v>45197</v>
      </c>
      <c r="G95" s="21" t="n">
        <v>45463</v>
      </c>
      <c r="H95" s="19" t="inlineStr">
        <is>
          <t>At Risk</t>
        </is>
      </c>
    </row>
    <row r="96">
      <c r="A96" s="22" t="inlineStr">
        <is>
          <t>CUST-0022</t>
        </is>
      </c>
      <c r="B96" s="22" t="inlineStr">
        <is>
          <t>Penelope Chen</t>
        </is>
      </c>
      <c r="C96" s="22" t="n">
        <v>3</v>
      </c>
      <c r="D96" s="23" t="n">
        <v>190.31</v>
      </c>
      <c r="E96" s="23" t="n">
        <v>63.44</v>
      </c>
      <c r="F96" s="24" t="n">
        <v>45026</v>
      </c>
      <c r="G96" s="24" t="n">
        <v>45652</v>
      </c>
      <c r="H96" s="22" t="inlineStr">
        <is>
          <t>Regular</t>
        </is>
      </c>
    </row>
    <row r="97">
      <c r="A97" s="22" t="inlineStr">
        <is>
          <t>CUST-0081</t>
        </is>
      </c>
      <c r="B97" s="22" t="inlineStr">
        <is>
          <t>David Clark</t>
        </is>
      </c>
      <c r="C97" s="22" t="n">
        <v>3</v>
      </c>
      <c r="D97" s="23" t="n">
        <v>175.92</v>
      </c>
      <c r="E97" s="23" t="n">
        <v>58.64</v>
      </c>
      <c r="F97" s="24" t="n">
        <v>45073</v>
      </c>
      <c r="G97" s="24" t="n">
        <v>45628</v>
      </c>
      <c r="H97" s="22" t="inlineStr">
        <is>
          <t>Regular</t>
        </is>
      </c>
    </row>
    <row r="98">
      <c r="A98" s="22" t="inlineStr">
        <is>
          <t>CUST-0010</t>
        </is>
      </c>
      <c r="B98" s="22" t="inlineStr">
        <is>
          <t>James Wilson</t>
        </is>
      </c>
      <c r="C98" s="22" t="n">
        <v>4</v>
      </c>
      <c r="D98" s="23" t="n">
        <v>175.5</v>
      </c>
      <c r="E98" s="23" t="n">
        <v>43.87</v>
      </c>
      <c r="F98" s="24" t="n">
        <v>45107</v>
      </c>
      <c r="G98" s="24" t="n">
        <v>45655</v>
      </c>
      <c r="H98" s="22" t="inlineStr">
        <is>
          <t>Regular</t>
        </is>
      </c>
    </row>
    <row r="99">
      <c r="A99" s="19" t="inlineStr">
        <is>
          <t>CUST-0054</t>
        </is>
      </c>
      <c r="B99" s="19" t="inlineStr">
        <is>
          <t>Isabella Kaya</t>
        </is>
      </c>
      <c r="C99" s="19" t="n">
        <v>3</v>
      </c>
      <c r="D99" s="20" t="n">
        <v>170.53</v>
      </c>
      <c r="E99" s="20" t="n">
        <v>56.84</v>
      </c>
      <c r="F99" s="21" t="n">
        <v>45220</v>
      </c>
      <c r="G99" s="21" t="n">
        <v>45399</v>
      </c>
      <c r="H99" s="19" t="inlineStr">
        <is>
          <t>At Risk</t>
        </is>
      </c>
    </row>
    <row r="100">
      <c r="A100" s="22" t="inlineStr">
        <is>
          <t>CUST-0097</t>
        </is>
      </c>
      <c r="B100" s="22" t="inlineStr">
        <is>
          <t>Olivia Brown</t>
        </is>
      </c>
      <c r="C100" s="22" t="n">
        <v>3</v>
      </c>
      <c r="D100" s="23" t="n">
        <v>168.76</v>
      </c>
      <c r="E100" s="23" t="n">
        <v>56.25</v>
      </c>
      <c r="F100" s="24" t="n">
        <v>45049</v>
      </c>
      <c r="G100" s="24" t="n">
        <v>45596</v>
      </c>
      <c r="H100" s="22" t="inlineStr">
        <is>
          <t>Regular</t>
        </is>
      </c>
    </row>
    <row r="101">
      <c r="A101" s="19" t="inlineStr">
        <is>
          <t>CUST-0057</t>
        </is>
      </c>
      <c r="B101" s="19" t="inlineStr">
        <is>
          <t>Sophia Kaya</t>
        </is>
      </c>
      <c r="C101" s="19" t="n">
        <v>1</v>
      </c>
      <c r="D101" s="20" t="n">
        <v>160.31</v>
      </c>
      <c r="E101" s="20" t="n">
        <v>160.31</v>
      </c>
      <c r="F101" s="21" t="n">
        <v>45442</v>
      </c>
      <c r="G101" s="21" t="n">
        <v>45442</v>
      </c>
      <c r="H101" s="19" t="inlineStr">
        <is>
          <t>At Risk</t>
        </is>
      </c>
    </row>
    <row r="102">
      <c r="A102" s="19" t="inlineStr">
        <is>
          <t>CUST-0009</t>
        </is>
      </c>
      <c r="B102" s="19" t="inlineStr">
        <is>
          <t>Owen Moreau</t>
        </is>
      </c>
      <c r="C102" s="19" t="n">
        <v>3</v>
      </c>
      <c r="D102" s="20" t="n">
        <v>159.61</v>
      </c>
      <c r="E102" s="20" t="n">
        <v>53.2</v>
      </c>
      <c r="F102" s="21" t="n">
        <v>45009</v>
      </c>
      <c r="G102" s="21" t="n">
        <v>45226</v>
      </c>
      <c r="H102" s="19" t="inlineStr">
        <is>
          <t>At Risk</t>
        </is>
      </c>
    </row>
    <row r="103">
      <c r="A103" s="22" t="inlineStr">
        <is>
          <t>CUST-0078</t>
        </is>
      </c>
      <c r="B103" s="22" t="inlineStr">
        <is>
          <t>Scarlett Yilmaz</t>
        </is>
      </c>
      <c r="C103" s="22" t="n">
        <v>4</v>
      </c>
      <c r="D103" s="23" t="n">
        <v>158.04</v>
      </c>
      <c r="E103" s="23" t="n">
        <v>39.51</v>
      </c>
      <c r="F103" s="24" t="n">
        <v>45169</v>
      </c>
      <c r="G103" s="24" t="n">
        <v>45632</v>
      </c>
      <c r="H103" s="22" t="inlineStr">
        <is>
          <t>Regular</t>
        </is>
      </c>
    </row>
    <row r="104">
      <c r="A104" s="22" t="inlineStr">
        <is>
          <t>CUST-0062</t>
        </is>
      </c>
      <c r="B104" s="22" t="inlineStr">
        <is>
          <t>Mehmet Weber</t>
        </is>
      </c>
      <c r="C104" s="22" t="n">
        <v>3</v>
      </c>
      <c r="D104" s="23" t="n">
        <v>156.85</v>
      </c>
      <c r="E104" s="23" t="n">
        <v>52.28</v>
      </c>
      <c r="F104" s="24" t="n">
        <v>44943</v>
      </c>
      <c r="G104" s="24" t="n">
        <v>45572</v>
      </c>
      <c r="H104" s="22" t="inlineStr">
        <is>
          <t>Regular</t>
        </is>
      </c>
    </row>
    <row r="105">
      <c r="A105" s="19" t="inlineStr">
        <is>
          <t>CUST-0087</t>
        </is>
      </c>
      <c r="B105" s="19" t="inlineStr">
        <is>
          <t>Pierre Smith</t>
        </is>
      </c>
      <c r="C105" s="19" t="n">
        <v>2</v>
      </c>
      <c r="D105" s="20" t="n">
        <v>149.84</v>
      </c>
      <c r="E105" s="20" t="n">
        <v>74.92</v>
      </c>
      <c r="F105" s="21" t="n">
        <v>45229</v>
      </c>
      <c r="G105" s="21" t="n">
        <v>45345</v>
      </c>
      <c r="H105" s="19" t="inlineStr">
        <is>
          <t>At Risk</t>
        </is>
      </c>
    </row>
    <row r="106">
      <c r="A106" s="19" t="inlineStr">
        <is>
          <t>CUST-0006</t>
        </is>
      </c>
      <c r="B106" s="19" t="inlineStr">
        <is>
          <t>Ethan Ozturk</t>
        </is>
      </c>
      <c r="C106" s="19" t="n">
        <v>2</v>
      </c>
      <c r="D106" s="20" t="n">
        <v>147.7</v>
      </c>
      <c r="E106" s="20" t="n">
        <v>73.84999999999999</v>
      </c>
      <c r="F106" s="21" t="n">
        <v>45003</v>
      </c>
      <c r="G106" s="21" t="n">
        <v>45525</v>
      </c>
      <c r="H106" s="19" t="inlineStr">
        <is>
          <t>At Risk</t>
        </is>
      </c>
    </row>
    <row r="107">
      <c r="A107" s="19" t="inlineStr">
        <is>
          <t>CUST-0084</t>
        </is>
      </c>
      <c r="B107" s="19" t="inlineStr">
        <is>
          <t>Mia Lee</t>
        </is>
      </c>
      <c r="C107" s="19" t="n">
        <v>2</v>
      </c>
      <c r="D107" s="20" t="n">
        <v>146.85</v>
      </c>
      <c r="E107" s="20" t="n">
        <v>73.42</v>
      </c>
      <c r="F107" s="21" t="n">
        <v>45333</v>
      </c>
      <c r="G107" s="21" t="n">
        <v>45488</v>
      </c>
      <c r="H107" s="19" t="inlineStr">
        <is>
          <t>At Risk</t>
        </is>
      </c>
    </row>
    <row r="108">
      <c r="A108" s="22" t="inlineStr">
        <is>
          <t>CUST-0044</t>
        </is>
      </c>
      <c r="B108" s="22" t="inlineStr">
        <is>
          <t>Penelope Demir</t>
        </is>
      </c>
      <c r="C108" s="22" t="n">
        <v>2</v>
      </c>
      <c r="D108" s="23" t="n">
        <v>146.29</v>
      </c>
      <c r="E108" s="23" t="n">
        <v>73.14</v>
      </c>
      <c r="F108" s="24" t="n">
        <v>45138</v>
      </c>
      <c r="G108" s="24" t="n">
        <v>45606</v>
      </c>
      <c r="H108" s="22" t="inlineStr">
        <is>
          <t>Regular</t>
        </is>
      </c>
    </row>
    <row r="109">
      <c r="A109" s="19" t="inlineStr">
        <is>
          <t>CUST-0141</t>
        </is>
      </c>
      <c r="B109" s="19" t="inlineStr">
        <is>
          <t>William Miller</t>
        </is>
      </c>
      <c r="C109" s="19" t="n">
        <v>4</v>
      </c>
      <c r="D109" s="20" t="n">
        <v>143.34</v>
      </c>
      <c r="E109" s="20" t="n">
        <v>35.84</v>
      </c>
      <c r="F109" s="21" t="n">
        <v>45273</v>
      </c>
      <c r="G109" s="21" t="n">
        <v>45434</v>
      </c>
      <c r="H109" s="19" t="inlineStr">
        <is>
          <t>At Risk</t>
        </is>
      </c>
    </row>
    <row r="110">
      <c r="A110" s="22" t="inlineStr">
        <is>
          <t>CUST-0109</t>
        </is>
      </c>
      <c r="B110" s="22" t="inlineStr">
        <is>
          <t>Thomas Jones</t>
        </is>
      </c>
      <c r="C110" s="22" t="n">
        <v>4</v>
      </c>
      <c r="D110" s="23" t="n">
        <v>142.01</v>
      </c>
      <c r="E110" s="23" t="n">
        <v>35.5</v>
      </c>
      <c r="F110" s="24" t="n">
        <v>45036</v>
      </c>
      <c r="G110" s="24" t="n">
        <v>45628</v>
      </c>
      <c r="H110" s="22" t="inlineStr">
        <is>
          <t>Regular</t>
        </is>
      </c>
    </row>
    <row r="111">
      <c r="A111" s="19" t="inlineStr">
        <is>
          <t>CUST-0005</t>
        </is>
      </c>
      <c r="B111" s="19" t="inlineStr">
        <is>
          <t>Liam Johnson</t>
        </is>
      </c>
      <c r="C111" s="19" t="n">
        <v>3</v>
      </c>
      <c r="D111" s="20" t="n">
        <v>141.49</v>
      </c>
      <c r="E111" s="20" t="n">
        <v>47.16</v>
      </c>
      <c r="F111" s="21" t="n">
        <v>45186</v>
      </c>
      <c r="G111" s="21" t="n">
        <v>45483</v>
      </c>
      <c r="H111" s="19" t="inlineStr">
        <is>
          <t>At Risk</t>
        </is>
      </c>
    </row>
    <row r="112">
      <c r="A112" s="19" t="inlineStr">
        <is>
          <t>CUST-0014</t>
        </is>
      </c>
      <c r="B112" s="19" t="inlineStr">
        <is>
          <t>Jack Tremblay</t>
        </is>
      </c>
      <c r="C112" s="19" t="n">
        <v>2</v>
      </c>
      <c r="D112" s="20" t="n">
        <v>140.72</v>
      </c>
      <c r="E112" s="20" t="n">
        <v>70.36</v>
      </c>
      <c r="F112" s="21" t="n">
        <v>45281</v>
      </c>
      <c r="G112" s="21" t="n">
        <v>45507</v>
      </c>
      <c r="H112" s="19" t="inlineStr">
        <is>
          <t>At Risk</t>
        </is>
      </c>
    </row>
    <row r="113">
      <c r="A113" s="19" t="inlineStr">
        <is>
          <t>CUST-0150</t>
        </is>
      </c>
      <c r="B113" s="19" t="inlineStr">
        <is>
          <t>Alexander Williams</t>
        </is>
      </c>
      <c r="C113" s="19" t="n">
        <v>4</v>
      </c>
      <c r="D113" s="20" t="n">
        <v>140.02</v>
      </c>
      <c r="E113" s="20" t="n">
        <v>35.01</v>
      </c>
      <c r="F113" s="21" t="n">
        <v>44979</v>
      </c>
      <c r="G113" s="21" t="n">
        <v>45147</v>
      </c>
      <c r="H113" s="19" t="inlineStr">
        <is>
          <t>At Risk</t>
        </is>
      </c>
    </row>
    <row r="114">
      <c r="A114" s="19" t="inlineStr">
        <is>
          <t>CUST-0094</t>
        </is>
      </c>
      <c r="B114" s="19" t="inlineStr">
        <is>
          <t>Ayse Martinez</t>
        </is>
      </c>
      <c r="C114" s="19" t="n">
        <v>2</v>
      </c>
      <c r="D114" s="20" t="n">
        <v>137.7</v>
      </c>
      <c r="E114" s="20" t="n">
        <v>68.84999999999999</v>
      </c>
      <c r="F114" s="21" t="n">
        <v>45168</v>
      </c>
      <c r="G114" s="21" t="n">
        <v>45329</v>
      </c>
      <c r="H114" s="19" t="inlineStr">
        <is>
          <t>At Risk</t>
        </is>
      </c>
    </row>
    <row r="115">
      <c r="A115" s="22" t="inlineStr">
        <is>
          <t>CUST-0002</t>
        </is>
      </c>
      <c r="B115" s="22" t="inlineStr">
        <is>
          <t>Harper Jackson</t>
        </is>
      </c>
      <c r="C115" s="22" t="n">
        <v>3</v>
      </c>
      <c r="D115" s="23" t="n">
        <v>135.44</v>
      </c>
      <c r="E115" s="23" t="n">
        <v>45.15</v>
      </c>
      <c r="F115" s="24" t="n">
        <v>45049</v>
      </c>
      <c r="G115" s="24" t="n">
        <v>45653</v>
      </c>
      <c r="H115" s="22" t="inlineStr">
        <is>
          <t>Regular</t>
        </is>
      </c>
    </row>
    <row r="116">
      <c r="A116" s="19" t="inlineStr">
        <is>
          <t>CUST-0070</t>
        </is>
      </c>
      <c r="B116" s="19" t="inlineStr">
        <is>
          <t>Fatma Moore</t>
        </is>
      </c>
      <c r="C116" s="19" t="n">
        <v>4</v>
      </c>
      <c r="D116" s="20" t="n">
        <v>134.7</v>
      </c>
      <c r="E116" s="20" t="n">
        <v>33.68</v>
      </c>
      <c r="F116" s="21" t="n">
        <v>45167</v>
      </c>
      <c r="G116" s="21" t="n">
        <v>45554</v>
      </c>
      <c r="H116" s="19" t="inlineStr">
        <is>
          <t>At Risk</t>
        </is>
      </c>
    </row>
    <row r="117">
      <c r="A117" s="22" t="inlineStr">
        <is>
          <t>CUST-0121</t>
        </is>
      </c>
      <c r="B117" s="22" t="inlineStr">
        <is>
          <t>Luna Thomas</t>
        </is>
      </c>
      <c r="C117" s="22" t="n">
        <v>3</v>
      </c>
      <c r="D117" s="23" t="n">
        <v>129.63</v>
      </c>
      <c r="E117" s="23" t="n">
        <v>43.21</v>
      </c>
      <c r="F117" s="24" t="n">
        <v>45479</v>
      </c>
      <c r="G117" s="24" t="n">
        <v>45649</v>
      </c>
      <c r="H117" s="22" t="inlineStr">
        <is>
          <t>Regular</t>
        </is>
      </c>
    </row>
    <row r="118">
      <c r="A118" s="22" t="inlineStr">
        <is>
          <t>CUST-0103</t>
        </is>
      </c>
      <c r="B118" s="22" t="inlineStr">
        <is>
          <t>Liam Roy</t>
        </is>
      </c>
      <c r="C118" s="22" t="n">
        <v>2</v>
      </c>
      <c r="D118" s="23" t="n">
        <v>129.06</v>
      </c>
      <c r="E118" s="23" t="n">
        <v>64.53</v>
      </c>
      <c r="F118" s="24" t="n">
        <v>45129</v>
      </c>
      <c r="G118" s="24" t="n">
        <v>45589</v>
      </c>
      <c r="H118" s="22" t="inlineStr">
        <is>
          <t>Regular</t>
        </is>
      </c>
    </row>
    <row r="119">
      <c r="A119" s="22" t="inlineStr">
        <is>
          <t>CUST-0030</t>
        </is>
      </c>
      <c r="B119" s="22" t="inlineStr">
        <is>
          <t>Laura Brown</t>
        </is>
      </c>
      <c r="C119" s="22" t="n">
        <v>3</v>
      </c>
      <c r="D119" s="23" t="n">
        <v>128.57</v>
      </c>
      <c r="E119" s="23" t="n">
        <v>42.86</v>
      </c>
      <c r="F119" s="24" t="n">
        <v>45431</v>
      </c>
      <c r="G119" s="24" t="n">
        <v>45645</v>
      </c>
      <c r="H119" s="22" t="inlineStr">
        <is>
          <t>Regular</t>
        </is>
      </c>
    </row>
    <row r="120">
      <c r="A120" s="19" t="inlineStr">
        <is>
          <t>CUST-0047</t>
        </is>
      </c>
      <c r="B120" s="19" t="inlineStr">
        <is>
          <t>Thomas Lee</t>
        </is>
      </c>
      <c r="C120" s="19" t="n">
        <v>2</v>
      </c>
      <c r="D120" s="20" t="n">
        <v>124.64</v>
      </c>
      <c r="E120" s="20" t="n">
        <v>62.32</v>
      </c>
      <c r="F120" s="21" t="n">
        <v>45277</v>
      </c>
      <c r="G120" s="21" t="n">
        <v>45399</v>
      </c>
      <c r="H120" s="19" t="inlineStr">
        <is>
          <t>At Risk</t>
        </is>
      </c>
    </row>
    <row r="121">
      <c r="A121" s="19" t="inlineStr">
        <is>
          <t>CUST-0107</t>
        </is>
      </c>
      <c r="B121" s="19" t="inlineStr">
        <is>
          <t>Aria Rodriguez</t>
        </is>
      </c>
      <c r="C121" s="19" t="n">
        <v>3</v>
      </c>
      <c r="D121" s="20" t="n">
        <v>124.37</v>
      </c>
      <c r="E121" s="20" t="n">
        <v>41.46</v>
      </c>
      <c r="F121" s="21" t="n">
        <v>45202</v>
      </c>
      <c r="G121" s="21" t="n">
        <v>45511</v>
      </c>
      <c r="H121" s="19" t="inlineStr">
        <is>
          <t>At Risk</t>
        </is>
      </c>
    </row>
    <row r="122">
      <c r="A122" s="22" t="inlineStr">
        <is>
          <t>CUST-0041</t>
        </is>
      </c>
      <c r="B122" s="22" t="inlineStr">
        <is>
          <t>Isabella Chen</t>
        </is>
      </c>
      <c r="C122" s="22" t="n">
        <v>2</v>
      </c>
      <c r="D122" s="23" t="n">
        <v>123.44</v>
      </c>
      <c r="E122" s="23" t="n">
        <v>61.72</v>
      </c>
      <c r="F122" s="24" t="n">
        <v>45181</v>
      </c>
      <c r="G122" s="24" t="n">
        <v>45622</v>
      </c>
      <c r="H122" s="22" t="inlineStr">
        <is>
          <t>Regular</t>
        </is>
      </c>
    </row>
    <row r="123">
      <c r="A123" s="19" t="inlineStr">
        <is>
          <t>CUST-0076</t>
        </is>
      </c>
      <c r="B123" s="19" t="inlineStr">
        <is>
          <t>Amelia Fraser</t>
        </is>
      </c>
      <c r="C123" s="19" t="n">
        <v>2</v>
      </c>
      <c r="D123" s="20" t="n">
        <v>117.88</v>
      </c>
      <c r="E123" s="20" t="n">
        <v>58.94</v>
      </c>
      <c r="F123" s="21" t="n">
        <v>45022</v>
      </c>
      <c r="G123" s="21" t="n">
        <v>45328</v>
      </c>
      <c r="H123" s="19" t="inlineStr">
        <is>
          <t>At Risk</t>
        </is>
      </c>
    </row>
    <row r="124">
      <c r="A124" s="19" t="inlineStr">
        <is>
          <t>CUST-0072</t>
        </is>
      </c>
      <c r="B124" s="19" t="inlineStr">
        <is>
          <t>Noah Williams</t>
        </is>
      </c>
      <c r="C124" s="19" t="n">
        <v>2</v>
      </c>
      <c r="D124" s="20" t="n">
        <v>112.26</v>
      </c>
      <c r="E124" s="20" t="n">
        <v>56.13</v>
      </c>
      <c r="F124" s="21" t="n">
        <v>45275</v>
      </c>
      <c r="G124" s="21" t="n">
        <v>45344</v>
      </c>
      <c r="H124" s="19" t="inlineStr">
        <is>
          <t>At Risk</t>
        </is>
      </c>
    </row>
    <row r="125">
      <c r="A125" s="19" t="inlineStr">
        <is>
          <t>CUST-0064</t>
        </is>
      </c>
      <c r="B125" s="19" t="inlineStr">
        <is>
          <t>Charlotte Fischer</t>
        </is>
      </c>
      <c r="C125" s="19" t="n">
        <v>3</v>
      </c>
      <c r="D125" s="20" t="n">
        <v>111.27</v>
      </c>
      <c r="E125" s="20" t="n">
        <v>37.09</v>
      </c>
      <c r="F125" s="21" t="n">
        <v>44931</v>
      </c>
      <c r="G125" s="21" t="n">
        <v>45038</v>
      </c>
      <c r="H125" s="19" t="inlineStr">
        <is>
          <t>At Risk</t>
        </is>
      </c>
    </row>
    <row r="126">
      <c r="A126" s="19" t="inlineStr">
        <is>
          <t>CUST-0120</t>
        </is>
      </c>
      <c r="B126" s="19" t="inlineStr">
        <is>
          <t>Henry Tremblay</t>
        </is>
      </c>
      <c r="C126" s="19" t="n">
        <v>3</v>
      </c>
      <c r="D126" s="20" t="n">
        <v>107.78</v>
      </c>
      <c r="E126" s="20" t="n">
        <v>35.93</v>
      </c>
      <c r="F126" s="21" t="n">
        <v>45265</v>
      </c>
      <c r="G126" s="21" t="n">
        <v>45387</v>
      </c>
      <c r="H126" s="19" t="inlineStr">
        <is>
          <t>At Risk</t>
        </is>
      </c>
    </row>
    <row r="127">
      <c r="A127" s="22" t="inlineStr">
        <is>
          <t>CUST-0036</t>
        </is>
      </c>
      <c r="B127" s="22" t="inlineStr">
        <is>
          <t>Elijah Jackson</t>
        </is>
      </c>
      <c r="C127" s="22" t="n">
        <v>3</v>
      </c>
      <c r="D127" s="23" t="n">
        <v>106.3</v>
      </c>
      <c r="E127" s="23" t="n">
        <v>35.43</v>
      </c>
      <c r="F127" s="24" t="n">
        <v>45249</v>
      </c>
      <c r="G127" s="24" t="n">
        <v>45621</v>
      </c>
      <c r="H127" s="22" t="inlineStr">
        <is>
          <t>Regular</t>
        </is>
      </c>
    </row>
    <row r="128">
      <c r="A128" s="19" t="inlineStr">
        <is>
          <t>CUST-0119</t>
        </is>
      </c>
      <c r="B128" s="19" t="inlineStr">
        <is>
          <t>Oliver Weber</t>
        </is>
      </c>
      <c r="C128" s="19" t="n">
        <v>2</v>
      </c>
      <c r="D128" s="20" t="n">
        <v>98.90000000000001</v>
      </c>
      <c r="E128" s="20" t="n">
        <v>49.45</v>
      </c>
      <c r="F128" s="21" t="n">
        <v>44991</v>
      </c>
      <c r="G128" s="21" t="n">
        <v>45043</v>
      </c>
      <c r="H128" s="19" t="inlineStr">
        <is>
          <t>At Risk</t>
        </is>
      </c>
    </row>
    <row r="129">
      <c r="A129" s="22" t="inlineStr">
        <is>
          <t>CUST-0073</t>
        </is>
      </c>
      <c r="B129" s="22" t="inlineStr">
        <is>
          <t>Noah Ozturk</t>
        </is>
      </c>
      <c r="C129" s="22" t="n">
        <v>3</v>
      </c>
      <c r="D129" s="23" t="n">
        <v>97.23</v>
      </c>
      <c r="E129" s="23" t="n">
        <v>32.41</v>
      </c>
      <c r="F129" s="24" t="n">
        <v>45040</v>
      </c>
      <c r="G129" s="24" t="n">
        <v>45603</v>
      </c>
      <c r="H129" s="22" t="inlineStr">
        <is>
          <t>Regular</t>
        </is>
      </c>
    </row>
    <row r="130">
      <c r="A130" s="19" t="inlineStr">
        <is>
          <t>CUST-0046</t>
        </is>
      </c>
      <c r="B130" s="19" t="inlineStr">
        <is>
          <t>Sophia Singh</t>
        </is>
      </c>
      <c r="C130" s="19" t="n">
        <v>1</v>
      </c>
      <c r="D130" s="20" t="n">
        <v>89.45</v>
      </c>
      <c r="E130" s="20" t="n">
        <v>89.45</v>
      </c>
      <c r="F130" s="21" t="n">
        <v>45479</v>
      </c>
      <c r="G130" s="21" t="n">
        <v>45479</v>
      </c>
      <c r="H130" s="19" t="inlineStr">
        <is>
          <t>At Risk</t>
        </is>
      </c>
    </row>
    <row r="131">
      <c r="A131" s="19" t="inlineStr">
        <is>
          <t>CUST-0033</t>
        </is>
      </c>
      <c r="B131" s="19" t="inlineStr">
        <is>
          <t>Ahmed Harris</t>
        </is>
      </c>
      <c r="C131" s="19" t="n">
        <v>1</v>
      </c>
      <c r="D131" s="20" t="n">
        <v>87.86</v>
      </c>
      <c r="E131" s="20" t="n">
        <v>87.86</v>
      </c>
      <c r="F131" s="21" t="n">
        <v>44950</v>
      </c>
      <c r="G131" s="21" t="n">
        <v>44950</v>
      </c>
      <c r="H131" s="19" t="inlineStr">
        <is>
          <t>At Risk</t>
        </is>
      </c>
    </row>
    <row r="132">
      <c r="A132" s="22" t="inlineStr">
        <is>
          <t>CUST-0125</t>
        </is>
      </c>
      <c r="B132" s="22" t="inlineStr">
        <is>
          <t>Laura Rodriguez</t>
        </is>
      </c>
      <c r="C132" s="22" t="n">
        <v>2</v>
      </c>
      <c r="D132" s="23" t="n">
        <v>81.39</v>
      </c>
      <c r="E132" s="23" t="n">
        <v>40.69</v>
      </c>
      <c r="F132" s="24" t="n">
        <v>45276</v>
      </c>
      <c r="G132" s="24" t="n">
        <v>45581</v>
      </c>
      <c r="H132" s="22" t="inlineStr">
        <is>
          <t>Regular</t>
        </is>
      </c>
    </row>
    <row r="133">
      <c r="A133" s="19" t="inlineStr">
        <is>
          <t>CUST-0144</t>
        </is>
      </c>
      <c r="B133" s="19" t="inlineStr">
        <is>
          <t>Ethan Moore</t>
        </is>
      </c>
      <c r="C133" s="19" t="n">
        <v>1</v>
      </c>
      <c r="D133" s="20" t="n">
        <v>80.45999999999999</v>
      </c>
      <c r="E133" s="20" t="n">
        <v>80.45999999999999</v>
      </c>
      <c r="F133" s="21" t="n">
        <v>45306</v>
      </c>
      <c r="G133" s="21" t="n">
        <v>45306</v>
      </c>
      <c r="H133" s="19" t="inlineStr">
        <is>
          <t>At Risk</t>
        </is>
      </c>
    </row>
    <row r="134">
      <c r="A134" s="19" t="inlineStr">
        <is>
          <t>CUST-0105</t>
        </is>
      </c>
      <c r="B134" s="19" t="inlineStr">
        <is>
          <t>Sebastian Martin</t>
        </is>
      </c>
      <c r="C134" s="19" t="n">
        <v>2</v>
      </c>
      <c r="D134" s="20" t="n">
        <v>77.51000000000001</v>
      </c>
      <c r="E134" s="20" t="n">
        <v>38.76</v>
      </c>
      <c r="F134" s="21" t="n">
        <v>45174</v>
      </c>
      <c r="G134" s="21" t="n">
        <v>45451</v>
      </c>
      <c r="H134" s="19" t="inlineStr">
        <is>
          <t>At Risk</t>
        </is>
      </c>
    </row>
    <row r="135">
      <c r="A135" s="19" t="inlineStr">
        <is>
          <t>CUST-0149</t>
        </is>
      </c>
      <c r="B135" s="19" t="inlineStr">
        <is>
          <t>Sophia Martin</t>
        </is>
      </c>
      <c r="C135" s="19" t="n">
        <v>2</v>
      </c>
      <c r="D135" s="20" t="n">
        <v>76.81</v>
      </c>
      <c r="E135" s="20" t="n">
        <v>38.4</v>
      </c>
      <c r="F135" s="21" t="n">
        <v>45108</v>
      </c>
      <c r="G135" s="21" t="n">
        <v>45522</v>
      </c>
      <c r="H135" s="19" t="inlineStr">
        <is>
          <t>At Risk</t>
        </is>
      </c>
    </row>
    <row r="136">
      <c r="A136" s="22" t="inlineStr">
        <is>
          <t>CUST-0079</t>
        </is>
      </c>
      <c r="B136" s="22" t="inlineStr">
        <is>
          <t>Penelope Brown</t>
        </is>
      </c>
      <c r="C136" s="22" t="n">
        <v>2</v>
      </c>
      <c r="D136" s="23" t="n">
        <v>64.18000000000001</v>
      </c>
      <c r="E136" s="23" t="n">
        <v>32.09</v>
      </c>
      <c r="F136" s="24" t="n">
        <v>45294</v>
      </c>
      <c r="G136" s="24" t="n">
        <v>45615</v>
      </c>
      <c r="H136" s="22" t="inlineStr">
        <is>
          <t>Regular</t>
        </is>
      </c>
    </row>
    <row r="137">
      <c r="A137" s="19" t="inlineStr">
        <is>
          <t>CUST-0100</t>
        </is>
      </c>
      <c r="B137" s="19" t="inlineStr">
        <is>
          <t>Noah Tremblay</t>
        </is>
      </c>
      <c r="C137" s="19" t="n">
        <v>2</v>
      </c>
      <c r="D137" s="20" t="n">
        <v>63.48</v>
      </c>
      <c r="E137" s="20" t="n">
        <v>31.74</v>
      </c>
      <c r="F137" s="21" t="n">
        <v>45094</v>
      </c>
      <c r="G137" s="21" t="n">
        <v>45341</v>
      </c>
      <c r="H137" s="19" t="inlineStr">
        <is>
          <t>At Risk</t>
        </is>
      </c>
    </row>
    <row r="138">
      <c r="A138" s="19" t="inlineStr">
        <is>
          <t>CUST-0050</t>
        </is>
      </c>
      <c r="B138" s="19" t="inlineStr">
        <is>
          <t>David Martin</t>
        </is>
      </c>
      <c r="C138" s="19" t="n">
        <v>1</v>
      </c>
      <c r="D138" s="20" t="n">
        <v>63.46</v>
      </c>
      <c r="E138" s="20" t="n">
        <v>63.46</v>
      </c>
      <c r="F138" s="21" t="n">
        <v>45128</v>
      </c>
      <c r="G138" s="21" t="n">
        <v>45128</v>
      </c>
      <c r="H138" s="19" t="inlineStr">
        <is>
          <t>At Risk</t>
        </is>
      </c>
    </row>
    <row r="139">
      <c r="A139" s="19" t="inlineStr">
        <is>
          <t>CUST-0048</t>
        </is>
      </c>
      <c r="B139" s="19" t="inlineStr">
        <is>
          <t>Luna Davis</t>
        </is>
      </c>
      <c r="C139" s="19" t="n">
        <v>1</v>
      </c>
      <c r="D139" s="20" t="n">
        <v>51.26</v>
      </c>
      <c r="E139" s="20" t="n">
        <v>51.26</v>
      </c>
      <c r="F139" s="21" t="n">
        <v>44953</v>
      </c>
      <c r="G139" s="21" t="n">
        <v>44953</v>
      </c>
      <c r="H139" s="19" t="inlineStr">
        <is>
          <t>At Risk</t>
        </is>
      </c>
    </row>
    <row r="140">
      <c r="A140" s="25" t="inlineStr">
        <is>
          <t>CUST-0080</t>
        </is>
      </c>
      <c r="B140" s="25" t="inlineStr">
        <is>
          <t>Claire Miller</t>
        </is>
      </c>
      <c r="C140" s="25" t="n">
        <v>1</v>
      </c>
      <c r="D140" s="26" t="n">
        <v>47.22</v>
      </c>
      <c r="E140" s="26" t="n">
        <v>47.22</v>
      </c>
      <c r="F140" s="27" t="n">
        <v>45647</v>
      </c>
      <c r="G140" s="27" t="n">
        <v>45647</v>
      </c>
      <c r="H140" s="25" t="inlineStr">
        <is>
          <t>New</t>
        </is>
      </c>
    </row>
    <row r="141">
      <c r="A141" s="19" t="inlineStr">
        <is>
          <t>CUST-0061</t>
        </is>
      </c>
      <c r="B141" s="19" t="inlineStr">
        <is>
          <t>Pierre Rodriguez</t>
        </is>
      </c>
      <c r="C141" s="19" t="n">
        <v>1</v>
      </c>
      <c r="D141" s="20" t="n">
        <v>46.64</v>
      </c>
      <c r="E141" s="20" t="n">
        <v>46.64</v>
      </c>
      <c r="F141" s="21" t="n">
        <v>45078</v>
      </c>
      <c r="G141" s="21" t="n">
        <v>45078</v>
      </c>
      <c r="H141" s="19" t="inlineStr">
        <is>
          <t>At Risk</t>
        </is>
      </c>
    </row>
    <row r="142">
      <c r="A142" s="19" t="inlineStr">
        <is>
          <t>CUST-0110</t>
        </is>
      </c>
      <c r="B142" s="19" t="inlineStr">
        <is>
          <t>Ingrid Bernard</t>
        </is>
      </c>
      <c r="C142" s="19" t="n">
        <v>2</v>
      </c>
      <c r="D142" s="20" t="n">
        <v>39.19</v>
      </c>
      <c r="E142" s="20" t="n">
        <v>19.59</v>
      </c>
      <c r="F142" s="21" t="n">
        <v>45166</v>
      </c>
      <c r="G142" s="21" t="n">
        <v>45443</v>
      </c>
      <c r="H142" s="19" t="inlineStr">
        <is>
          <t>At Risk</t>
        </is>
      </c>
    </row>
    <row r="143">
      <c r="A143" s="19" t="inlineStr">
        <is>
          <t>CUST-0049</t>
        </is>
      </c>
      <c r="B143" s="19" t="inlineStr">
        <is>
          <t>Lucas Campbell</t>
        </is>
      </c>
      <c r="C143" s="19" t="n">
        <v>1</v>
      </c>
      <c r="D143" s="20" t="n">
        <v>31.69</v>
      </c>
      <c r="E143" s="20" t="n">
        <v>31.69</v>
      </c>
      <c r="F143" s="21" t="n">
        <v>45001</v>
      </c>
      <c r="G143" s="21" t="n">
        <v>45001</v>
      </c>
      <c r="H143" s="19" t="inlineStr">
        <is>
          <t>At Risk</t>
        </is>
      </c>
    </row>
    <row r="144">
      <c r="A144" s="19" t="inlineStr">
        <is>
          <t>CUST-0092</t>
        </is>
      </c>
      <c r="B144" s="19" t="inlineStr">
        <is>
          <t>Penelope Thompson</t>
        </is>
      </c>
      <c r="C144" s="19" t="n">
        <v>1</v>
      </c>
      <c r="D144" s="20" t="n">
        <v>25.15</v>
      </c>
      <c r="E144" s="20" t="n">
        <v>25.15</v>
      </c>
      <c r="F144" s="21" t="n">
        <v>45133</v>
      </c>
      <c r="G144" s="21" t="n">
        <v>45133</v>
      </c>
      <c r="H144" s="19" t="inlineStr">
        <is>
          <t>At Risk</t>
        </is>
      </c>
    </row>
    <row r="145">
      <c r="A145" s="19" t="inlineStr">
        <is>
          <t>CUST-0020</t>
        </is>
      </c>
      <c r="B145" s="19" t="inlineStr">
        <is>
          <t>Laura Thompson</t>
        </is>
      </c>
      <c r="C145" s="19" t="n">
        <v>1</v>
      </c>
      <c r="D145" s="20" t="n">
        <v>22.33</v>
      </c>
      <c r="E145" s="20" t="n">
        <v>22.33</v>
      </c>
      <c r="F145" s="21" t="n">
        <v>45381</v>
      </c>
      <c r="G145" s="21" t="n">
        <v>45381</v>
      </c>
      <c r="H145" s="19" t="inlineStr">
        <is>
          <t>At Risk</t>
        </is>
      </c>
    </row>
    <row r="146">
      <c r="A146" s="19" t="inlineStr">
        <is>
          <t>CUST-0013</t>
        </is>
      </c>
      <c r="B146" s="19" t="inlineStr">
        <is>
          <t>Daniel Miller</t>
        </is>
      </c>
      <c r="C146" s="19" t="n">
        <v>1</v>
      </c>
      <c r="D146" s="20" t="n">
        <v>10.7</v>
      </c>
      <c r="E146" s="20" t="n">
        <v>10.7</v>
      </c>
      <c r="F146" s="21" t="n">
        <v>45175</v>
      </c>
      <c r="G146" s="21" t="n">
        <v>45175</v>
      </c>
      <c r="H146" s="19" t="inlineStr">
        <is>
          <t>At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 Order Value</t>
        </is>
      </c>
      <c r="E1" s="1" t="inlineStr">
        <is>
          <t>New Customers</t>
        </is>
      </c>
    </row>
    <row r="2">
      <c r="A2" s="28" t="n">
        <v>44927</v>
      </c>
      <c r="B2" s="2" t="n">
        <v>17</v>
      </c>
      <c r="C2" s="4" t="n">
        <v>1148.99</v>
      </c>
      <c r="D2" s="4" t="n">
        <v>67.59</v>
      </c>
      <c r="E2" s="2" t="n">
        <v>17</v>
      </c>
    </row>
    <row r="3">
      <c r="A3" s="29" t="n">
        <v>44958</v>
      </c>
      <c r="B3" s="6" t="n">
        <v>18</v>
      </c>
      <c r="C3" s="8" t="n">
        <v>1756.24</v>
      </c>
      <c r="D3" s="8" t="n">
        <v>97.56999999999999</v>
      </c>
      <c r="E3" s="6" t="n">
        <v>15</v>
      </c>
    </row>
    <row r="4">
      <c r="A4" s="28" t="n">
        <v>44986</v>
      </c>
      <c r="B4" s="2" t="n">
        <v>28</v>
      </c>
      <c r="C4" s="4" t="n">
        <v>2412.45</v>
      </c>
      <c r="D4" s="4" t="n">
        <v>86.16</v>
      </c>
      <c r="E4" s="2" t="n">
        <v>19</v>
      </c>
    </row>
    <row r="5">
      <c r="A5" s="29" t="n">
        <v>45017</v>
      </c>
      <c r="B5" s="6" t="n">
        <v>17</v>
      </c>
      <c r="C5" s="8" t="n">
        <v>940</v>
      </c>
      <c r="D5" s="8" t="n">
        <v>55.29</v>
      </c>
      <c r="E5" s="6" t="n">
        <v>10</v>
      </c>
    </row>
    <row r="6">
      <c r="A6" s="28" t="n">
        <v>45047</v>
      </c>
      <c r="B6" s="2" t="n">
        <v>28</v>
      </c>
      <c r="C6" s="4" t="n">
        <v>2331.37</v>
      </c>
      <c r="D6" s="4" t="n">
        <v>83.26000000000001</v>
      </c>
      <c r="E6" s="2" t="n">
        <v>12</v>
      </c>
    </row>
    <row r="7">
      <c r="A7" s="29" t="n">
        <v>45078</v>
      </c>
      <c r="B7" s="6" t="n">
        <v>19</v>
      </c>
      <c r="C7" s="8" t="n">
        <v>1341.25</v>
      </c>
      <c r="D7" s="8" t="n">
        <v>70.59</v>
      </c>
      <c r="E7" s="6" t="n">
        <v>7</v>
      </c>
    </row>
    <row r="8">
      <c r="A8" s="28" t="n">
        <v>45108</v>
      </c>
      <c r="B8" s="2" t="n">
        <v>21</v>
      </c>
      <c r="C8" s="4" t="n">
        <v>1410.01</v>
      </c>
      <c r="D8" s="4" t="n">
        <v>67.14</v>
      </c>
      <c r="E8" s="2" t="n">
        <v>11</v>
      </c>
    </row>
    <row r="9">
      <c r="A9" s="29" t="n">
        <v>45139</v>
      </c>
      <c r="B9" s="6" t="n">
        <v>22</v>
      </c>
      <c r="C9" s="8" t="n">
        <v>2269.27</v>
      </c>
      <c r="D9" s="8" t="n">
        <v>103.15</v>
      </c>
      <c r="E9" s="6" t="n">
        <v>7</v>
      </c>
    </row>
    <row r="10">
      <c r="A10" s="28" t="n">
        <v>45170</v>
      </c>
      <c r="B10" s="2" t="n">
        <v>28</v>
      </c>
      <c r="C10" s="4" t="n">
        <v>1438.82</v>
      </c>
      <c r="D10" s="4" t="n">
        <v>51.39</v>
      </c>
      <c r="E10" s="2" t="n">
        <v>10</v>
      </c>
    </row>
    <row r="11">
      <c r="A11" s="29" t="n">
        <v>45200</v>
      </c>
      <c r="B11" s="6" t="n">
        <v>27</v>
      </c>
      <c r="C11" s="8" t="n">
        <v>1910.45</v>
      </c>
      <c r="D11" s="8" t="n">
        <v>70.76000000000001</v>
      </c>
      <c r="E11" s="6" t="n">
        <v>8</v>
      </c>
    </row>
    <row r="12">
      <c r="A12" s="28" t="n">
        <v>45231</v>
      </c>
      <c r="B12" s="2" t="n">
        <v>14</v>
      </c>
      <c r="C12" s="4" t="n">
        <v>736.12</v>
      </c>
      <c r="D12" s="4" t="n">
        <v>52.58</v>
      </c>
      <c r="E12" s="2" t="n">
        <v>2</v>
      </c>
    </row>
    <row r="13">
      <c r="A13" s="29" t="n">
        <v>45261</v>
      </c>
      <c r="B13" s="6" t="n">
        <v>21</v>
      </c>
      <c r="C13" s="8" t="n">
        <v>1248.38</v>
      </c>
      <c r="D13" s="8" t="n">
        <v>59.45</v>
      </c>
      <c r="E13" s="6" t="n">
        <v>9</v>
      </c>
    </row>
    <row r="14">
      <c r="A14" s="28" t="n">
        <v>45292</v>
      </c>
      <c r="B14" s="2" t="n">
        <v>29</v>
      </c>
      <c r="C14" s="4" t="n">
        <v>2621.43</v>
      </c>
      <c r="D14" s="4" t="n">
        <v>90.39</v>
      </c>
      <c r="E14" s="2" t="n">
        <v>5</v>
      </c>
    </row>
    <row r="15">
      <c r="A15" s="29" t="n">
        <v>45323</v>
      </c>
      <c r="B15" s="6" t="n">
        <v>19</v>
      </c>
      <c r="C15" s="8" t="n">
        <v>1582.87</v>
      </c>
      <c r="D15" s="8" t="n">
        <v>83.31</v>
      </c>
      <c r="E15" s="6" t="n">
        <v>2</v>
      </c>
    </row>
    <row r="16">
      <c r="A16" s="28" t="n">
        <v>45352</v>
      </c>
      <c r="B16" s="2" t="n">
        <v>18</v>
      </c>
      <c r="C16" s="4" t="n">
        <v>1466.78</v>
      </c>
      <c r="D16" s="4" t="n">
        <v>81.48999999999999</v>
      </c>
      <c r="E16" s="2" t="n">
        <v>2</v>
      </c>
    </row>
    <row r="17">
      <c r="A17" s="29" t="n">
        <v>45383</v>
      </c>
      <c r="B17" s="6" t="n">
        <v>22</v>
      </c>
      <c r="C17" s="8" t="n">
        <v>2203.12</v>
      </c>
      <c r="D17" s="8" t="n">
        <v>100.14</v>
      </c>
      <c r="E17" s="6" t="n">
        <v>2</v>
      </c>
    </row>
    <row r="18">
      <c r="A18" s="28" t="n">
        <v>45413</v>
      </c>
      <c r="B18" s="2" t="n">
        <v>24</v>
      </c>
      <c r="C18" s="4" t="n">
        <v>2540.84</v>
      </c>
      <c r="D18" s="4" t="n">
        <v>105.87</v>
      </c>
      <c r="E18" s="2" t="n">
        <v>3</v>
      </c>
    </row>
    <row r="19">
      <c r="A19" s="29" t="n">
        <v>45444</v>
      </c>
      <c r="B19" s="6" t="n">
        <v>23</v>
      </c>
      <c r="C19" s="8" t="n">
        <v>1956.57</v>
      </c>
      <c r="D19" s="8" t="n">
        <v>85.06999999999999</v>
      </c>
      <c r="E19" s="6" t="n">
        <v>0</v>
      </c>
    </row>
    <row r="20">
      <c r="A20" s="28" t="n">
        <v>45474</v>
      </c>
      <c r="B20" s="2" t="n">
        <v>19</v>
      </c>
      <c r="C20" s="4" t="n">
        <v>1674.96</v>
      </c>
      <c r="D20" s="4" t="n">
        <v>88.16</v>
      </c>
      <c r="E20" s="2" t="n">
        <v>2</v>
      </c>
    </row>
    <row r="21">
      <c r="A21" s="29" t="n">
        <v>45505</v>
      </c>
      <c r="B21" s="6" t="n">
        <v>24</v>
      </c>
      <c r="C21" s="8" t="n">
        <v>1960.4</v>
      </c>
      <c r="D21" s="8" t="n">
        <v>81.68000000000001</v>
      </c>
      <c r="E21" s="6" t="n">
        <v>1</v>
      </c>
    </row>
    <row r="22">
      <c r="A22" s="28" t="n">
        <v>45536</v>
      </c>
      <c r="B22" s="2" t="n">
        <v>26</v>
      </c>
      <c r="C22" s="4" t="n">
        <v>2256.29</v>
      </c>
      <c r="D22" s="4" t="n">
        <v>86.78</v>
      </c>
      <c r="E22" s="2" t="n">
        <v>0</v>
      </c>
    </row>
    <row r="23">
      <c r="A23" s="29" t="n">
        <v>45566</v>
      </c>
      <c r="B23" s="6" t="n">
        <v>25</v>
      </c>
      <c r="C23" s="8" t="n">
        <v>2067.07</v>
      </c>
      <c r="D23" s="8" t="n">
        <v>82.68000000000001</v>
      </c>
      <c r="E23" s="6" t="n">
        <v>0</v>
      </c>
    </row>
    <row r="24">
      <c r="A24" s="28" t="n">
        <v>45597</v>
      </c>
      <c r="B24" s="2" t="n">
        <v>32</v>
      </c>
      <c r="C24" s="4" t="n">
        <v>3125.75</v>
      </c>
      <c r="D24" s="4" t="n">
        <v>97.68000000000001</v>
      </c>
      <c r="E24" s="2" t="n">
        <v>0</v>
      </c>
    </row>
    <row r="25">
      <c r="A25" s="29" t="n">
        <v>45627</v>
      </c>
      <c r="B25" s="6" t="n">
        <v>29</v>
      </c>
      <c r="C25" s="8" t="n">
        <v>2153.46</v>
      </c>
      <c r="D25" s="8" t="n">
        <v>74.26000000000001</v>
      </c>
      <c r="E25" s="6" t="n">
        <v>1</v>
      </c>
    </row>
    <row r="200">
      <c r="A200" t="inlineStr">
        <is>
          <t>Month</t>
        </is>
      </c>
      <c r="B200" t="inlineStr">
        <is>
          <t>Revenue</t>
        </is>
      </c>
      <c r="C200" t="inlineStr">
        <is>
          <t>Orders</t>
        </is>
      </c>
    </row>
    <row r="201">
      <c r="A201" s="30" t="n">
        <v>44927</v>
      </c>
      <c r="B201" t="n">
        <v>1148.99</v>
      </c>
      <c r="C201" t="n">
        <v>17</v>
      </c>
    </row>
    <row r="202">
      <c r="A202" s="30" t="n">
        <v>44958</v>
      </c>
      <c r="B202" t="n">
        <v>1756.24</v>
      </c>
      <c r="C202" t="n">
        <v>18</v>
      </c>
    </row>
    <row r="203">
      <c r="A203" s="30" t="n">
        <v>44986</v>
      </c>
      <c r="B203" t="n">
        <v>2412.45</v>
      </c>
      <c r="C203" t="n">
        <v>28</v>
      </c>
    </row>
    <row r="204">
      <c r="A204" s="30" t="n">
        <v>45017</v>
      </c>
      <c r="B204" t="n">
        <v>940</v>
      </c>
      <c r="C204" t="n">
        <v>17</v>
      </c>
    </row>
    <row r="205">
      <c r="A205" s="30" t="n">
        <v>45047</v>
      </c>
      <c r="B205" t="n">
        <v>2331.37</v>
      </c>
      <c r="C205" t="n">
        <v>28</v>
      </c>
    </row>
    <row r="206">
      <c r="A206" s="30" t="n">
        <v>45078</v>
      </c>
      <c r="B206" t="n">
        <v>1341.25</v>
      </c>
      <c r="C206" t="n">
        <v>19</v>
      </c>
    </row>
    <row r="207">
      <c r="A207" s="30" t="n">
        <v>45108</v>
      </c>
      <c r="B207" t="n">
        <v>1410.01</v>
      </c>
      <c r="C207" t="n">
        <v>21</v>
      </c>
    </row>
    <row r="208">
      <c r="A208" s="30" t="n">
        <v>45139</v>
      </c>
      <c r="B208" t="n">
        <v>2269.27</v>
      </c>
      <c r="C208" t="n">
        <v>22</v>
      </c>
    </row>
    <row r="209">
      <c r="A209" s="30" t="n">
        <v>45170</v>
      </c>
      <c r="B209" t="n">
        <v>1438.82</v>
      </c>
      <c r="C209" t="n">
        <v>28</v>
      </c>
    </row>
    <row r="210">
      <c r="A210" s="30" t="n">
        <v>45200</v>
      </c>
      <c r="B210" t="n">
        <v>1910.45</v>
      </c>
      <c r="C210" t="n">
        <v>27</v>
      </c>
    </row>
    <row r="211">
      <c r="A211" s="30" t="n">
        <v>45231</v>
      </c>
      <c r="B211" t="n">
        <v>736.12</v>
      </c>
      <c r="C211" t="n">
        <v>14</v>
      </c>
    </row>
    <row r="212">
      <c r="A212" s="30" t="n">
        <v>45261</v>
      </c>
      <c r="B212" t="n">
        <v>1248.38</v>
      </c>
      <c r="C212" t="n">
        <v>21</v>
      </c>
    </row>
    <row r="213">
      <c r="A213" s="30" t="n">
        <v>45292</v>
      </c>
      <c r="B213" t="n">
        <v>2621.43</v>
      </c>
      <c r="C213" t="n">
        <v>29</v>
      </c>
    </row>
    <row r="214">
      <c r="A214" s="30" t="n">
        <v>45323</v>
      </c>
      <c r="B214" t="n">
        <v>1582.87</v>
      </c>
      <c r="C214" t="n">
        <v>19</v>
      </c>
    </row>
    <row r="215">
      <c r="A215" s="30" t="n">
        <v>45352</v>
      </c>
      <c r="B215" t="n">
        <v>1466.78</v>
      </c>
      <c r="C215" t="n">
        <v>18</v>
      </c>
    </row>
    <row r="216">
      <c r="A216" s="30" t="n">
        <v>45383</v>
      </c>
      <c r="B216" t="n">
        <v>2203.12</v>
      </c>
      <c r="C216" t="n">
        <v>22</v>
      </c>
    </row>
    <row r="217">
      <c r="A217" s="30" t="n">
        <v>45413</v>
      </c>
      <c r="B217" t="n">
        <v>2540.84</v>
      </c>
      <c r="C217" t="n">
        <v>24</v>
      </c>
    </row>
    <row r="218">
      <c r="A218" s="30" t="n">
        <v>45444</v>
      </c>
      <c r="B218" t="n">
        <v>1956.57</v>
      </c>
      <c r="C218" t="n">
        <v>23</v>
      </c>
    </row>
    <row r="219">
      <c r="A219" s="30" t="n">
        <v>45474</v>
      </c>
      <c r="B219" t="n">
        <v>1674.96</v>
      </c>
      <c r="C219" t="n">
        <v>19</v>
      </c>
    </row>
    <row r="220">
      <c r="A220" s="30" t="n">
        <v>45505</v>
      </c>
      <c r="B220" t="n">
        <v>1960.4</v>
      </c>
      <c r="C220" t="n">
        <v>24</v>
      </c>
    </row>
    <row r="221">
      <c r="A221" s="30" t="n">
        <v>45536</v>
      </c>
      <c r="B221" t="n">
        <v>2256.29</v>
      </c>
      <c r="C221" t="n">
        <v>26</v>
      </c>
    </row>
    <row r="222">
      <c r="A222" s="30" t="n">
        <v>45566</v>
      </c>
      <c r="B222" t="n">
        <v>2067.07</v>
      </c>
      <c r="C222" t="n">
        <v>25</v>
      </c>
    </row>
    <row r="223">
      <c r="A223" s="30" t="n">
        <v>45597</v>
      </c>
      <c r="B223" t="n">
        <v>3125.75</v>
      </c>
      <c r="C223" t="n">
        <v>32</v>
      </c>
    </row>
    <row r="224">
      <c r="A224" s="30" t="n">
        <v>45627</v>
      </c>
      <c r="B224" t="n">
        <v>2153.46</v>
      </c>
      <c r="C224" t="n">
        <v>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5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 ht="35" customHeight="1">
      <c r="B2" s="31" t="inlineStr">
        <is>
          <t>E-Commerce Sales Analysis | 2023-2024</t>
        </is>
      </c>
    </row>
    <row r="3">
      <c r="B3" s="32" t="inlineStr">
        <is>
          <t>Data Source: Internal E-Commerce Platform  |  550+ Transactions  |  6 Markets</t>
        </is>
      </c>
    </row>
    <row r="5" ht="20" customHeight="1">
      <c r="B5" s="33" t="inlineStr">
        <is>
          <t>TOTAL REVENUE</t>
        </is>
      </c>
      <c r="C5" s="34" t="n"/>
      <c r="D5" s="33" t="inlineStr">
        <is>
          <t>TOTAL ORDERS</t>
        </is>
      </c>
      <c r="E5" s="34" t="n"/>
      <c r="F5" s="33" t="inlineStr">
        <is>
          <t>AVG ORDER VALUE</t>
        </is>
      </c>
      <c r="G5" s="34" t="n"/>
      <c r="H5" s="33" t="inlineStr">
        <is>
          <t>UNIQUE CUSTOMERS</t>
        </is>
      </c>
      <c r="I5" s="34" t="n"/>
      <c r="J5" s="33" t="inlineStr">
        <is>
          <t>TOP COUNTRY</t>
        </is>
      </c>
      <c r="K5" s="34" t="n"/>
    </row>
    <row r="6" ht="35" customHeight="1">
      <c r="B6" s="35" t="n">
        <v>44552.8885</v>
      </c>
      <c r="C6" s="34" t="n"/>
      <c r="D6" s="36" t="n">
        <v>550</v>
      </c>
      <c r="E6" s="34" t="n"/>
      <c r="F6" s="35" t="n">
        <v>81.00525181818182</v>
      </c>
      <c r="G6" s="34" t="n"/>
      <c r="H6" s="36" t="n">
        <v>145</v>
      </c>
      <c r="I6" s="34" t="n"/>
      <c r="J6" s="37" t="inlineStr">
        <is>
          <t>USA</t>
        </is>
      </c>
      <c r="K6" s="34" t="n"/>
    </row>
    <row r="9">
      <c r="B9" s="38" t="inlineStr">
        <is>
          <t>Revenue by Country</t>
        </is>
      </c>
      <c r="H9" s="38" t="inlineStr">
        <is>
          <t>Revenue by Category</t>
        </is>
      </c>
    </row>
    <row r="10">
      <c r="B10" s="39" t="inlineStr">
        <is>
          <t>Country</t>
        </is>
      </c>
      <c r="C10" s="39" t="inlineStr">
        <is>
          <t>Revenue</t>
        </is>
      </c>
      <c r="D10" s="39" t="inlineStr">
        <is>
          <t>Orders</t>
        </is>
      </c>
      <c r="E10" s="39" t="inlineStr">
        <is>
          <t>Avg Order</t>
        </is>
      </c>
      <c r="F10" s="39" t="inlineStr">
        <is>
          <t>% Share</t>
        </is>
      </c>
      <c r="H10" s="39" t="inlineStr">
        <is>
          <t>Category</t>
        </is>
      </c>
      <c r="I10" s="39" t="inlineStr">
        <is>
          <t>Revenue</t>
        </is>
      </c>
      <c r="J10" s="39" t="inlineStr">
        <is>
          <t>Orders</t>
        </is>
      </c>
      <c r="K10" s="39" t="inlineStr">
        <is>
          <t>Avg Order</t>
        </is>
      </c>
      <c r="L10" s="39" t="inlineStr">
        <is>
          <t>% Share</t>
        </is>
      </c>
    </row>
    <row r="11">
      <c r="B11" s="40" t="inlineStr">
        <is>
          <t>USA</t>
        </is>
      </c>
      <c r="C11" s="41" t="n">
        <v>16622.08</v>
      </c>
      <c r="D11" s="42" t="n">
        <v>206</v>
      </c>
      <c r="E11" s="41" t="n">
        <v>80.69</v>
      </c>
      <c r="F11" s="43" t="n">
        <v>0.3731</v>
      </c>
      <c r="H11" s="40" t="inlineStr">
        <is>
          <t>Clothing</t>
        </is>
      </c>
      <c r="I11" s="41" t="n">
        <v>15304.13</v>
      </c>
      <c r="J11" s="42" t="n">
        <v>127</v>
      </c>
      <c r="K11" s="41" t="n">
        <v>120.5</v>
      </c>
      <c r="L11" s="43" t="n">
        <v>0.3435</v>
      </c>
    </row>
    <row r="12">
      <c r="B12" s="44" t="inlineStr">
        <is>
          <t>Germany</t>
        </is>
      </c>
      <c r="C12" s="45" t="n">
        <v>8396.709999999999</v>
      </c>
      <c r="D12" s="46" t="n">
        <v>94</v>
      </c>
      <c r="E12" s="45" t="n">
        <v>89.33</v>
      </c>
      <c r="F12" s="47" t="n">
        <v>0.1885</v>
      </c>
      <c r="H12" s="44" t="inlineStr">
        <is>
          <t>Electronics</t>
        </is>
      </c>
      <c r="I12" s="45" t="n">
        <v>10738.01</v>
      </c>
      <c r="J12" s="46" t="n">
        <v>128</v>
      </c>
      <c r="K12" s="45" t="n">
        <v>83.89</v>
      </c>
      <c r="L12" s="47" t="n">
        <v>0.241</v>
      </c>
    </row>
    <row r="13">
      <c r="B13" s="40" t="inlineStr">
        <is>
          <t>Turkey</t>
        </is>
      </c>
      <c r="C13" s="41" t="n">
        <v>6208.32</v>
      </c>
      <c r="D13" s="42" t="n">
        <v>64</v>
      </c>
      <c r="E13" s="41" t="n">
        <v>97.01000000000001</v>
      </c>
      <c r="F13" s="43" t="n">
        <v>0.1393</v>
      </c>
      <c r="H13" s="40" t="inlineStr">
        <is>
          <t>Sports</t>
        </is>
      </c>
      <c r="I13" s="41" t="n">
        <v>7290.98</v>
      </c>
      <c r="J13" s="42" t="n">
        <v>119</v>
      </c>
      <c r="K13" s="41" t="n">
        <v>61.27</v>
      </c>
      <c r="L13" s="43" t="n">
        <v>0.1636</v>
      </c>
    </row>
    <row r="14">
      <c r="B14" s="44" t="inlineStr">
        <is>
          <t>France</t>
        </is>
      </c>
      <c r="C14" s="45" t="n">
        <v>5378.52</v>
      </c>
      <c r="D14" s="46" t="n">
        <v>79</v>
      </c>
      <c r="E14" s="45" t="n">
        <v>68.08</v>
      </c>
      <c r="F14" s="47" t="n">
        <v>0.1207</v>
      </c>
      <c r="H14" s="44" t="inlineStr">
        <is>
          <t>Home &amp; Garden</t>
        </is>
      </c>
      <c r="I14" s="45" t="n">
        <v>5719.69</v>
      </c>
      <c r="J14" s="46" t="n">
        <v>98</v>
      </c>
      <c r="K14" s="45" t="n">
        <v>58.36</v>
      </c>
      <c r="L14" s="47" t="n">
        <v>0.1284</v>
      </c>
    </row>
    <row r="15">
      <c r="B15" s="40" t="inlineStr">
        <is>
          <t>UK</t>
        </is>
      </c>
      <c r="C15" s="41" t="n">
        <v>5162.08</v>
      </c>
      <c r="D15" s="42" t="n">
        <v>71</v>
      </c>
      <c r="E15" s="41" t="n">
        <v>72.70999999999999</v>
      </c>
      <c r="F15" s="43" t="n">
        <v>0.1159</v>
      </c>
      <c r="H15" s="40" t="inlineStr">
        <is>
          <t>Books</t>
        </is>
      </c>
      <c r="I15" s="41" t="n">
        <v>5500.08</v>
      </c>
      <c r="J15" s="42" t="n">
        <v>78</v>
      </c>
      <c r="K15" s="41" t="n">
        <v>70.51000000000001</v>
      </c>
      <c r="L15" s="43" t="n">
        <v>0.1235</v>
      </c>
    </row>
    <row r="16">
      <c r="B16" s="44" t="inlineStr">
        <is>
          <t>Canada</t>
        </is>
      </c>
      <c r="C16" s="45" t="n">
        <v>2785.18</v>
      </c>
      <c r="D16" s="46" t="n">
        <v>36</v>
      </c>
      <c r="E16" s="45" t="n">
        <v>77.37</v>
      </c>
      <c r="F16" s="47" t="n">
        <v>0.0625</v>
      </c>
    </row>
    <row r="19">
      <c r="B19" s="38" t="inlineStr">
        <is>
          <t>Key Insights</t>
        </is>
      </c>
    </row>
    <row r="20">
      <c r="B20" s="48" t="inlineStr">
        <is>
          <t>1. Total revenue of $44,552.89 generated across 550 orders from 145 unique customers.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34" t="n"/>
    </row>
    <row r="21">
      <c r="B21" s="48" t="inlineStr">
        <is>
          <t>2. USA leads all markets with $16,622.08 in revenue (37.3% share).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34" t="n"/>
    </row>
    <row r="22">
      <c r="B22" s="48" t="inlineStr">
        <is>
          <t>3. 'Running Shoes' is the best-selling product by revenue.</t>
        </is>
      </c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34" t="n"/>
    </row>
    <row r="23">
      <c r="B23" s="48" t="inlineStr">
        <is>
          <t>4. Clothing is the top-performing category with $15,304.13 revenue.</t>
        </is>
      </c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34" t="n"/>
    </row>
    <row r="24">
      <c r="B24" s="48" t="inlineStr">
        <is>
          <t>5. Average order value is $81.01, indicating a healthy basket size.</t>
        </is>
      </c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34" t="n"/>
    </row>
    <row r="25">
      <c r="B25" s="48" t="inlineStr">
        <is>
          <t>6. Credit Card is the dominant payment method across all markets.</t>
        </is>
      </c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34" t="n"/>
    </row>
  </sheetData>
  <mergeCells count="21">
    <mergeCell ref="J5:K5"/>
    <mergeCell ref="B25:L25"/>
    <mergeCell ref="F6:G6"/>
    <mergeCell ref="B22:L22"/>
    <mergeCell ref="H9:L9"/>
    <mergeCell ref="D6:E6"/>
    <mergeCell ref="H6:I6"/>
    <mergeCell ref="B21:L21"/>
    <mergeCell ref="J6:K6"/>
    <mergeCell ref="F5:G5"/>
    <mergeCell ref="B23:L23"/>
    <mergeCell ref="B3:K3"/>
    <mergeCell ref="B19:L19"/>
    <mergeCell ref="B2:K2"/>
    <mergeCell ref="B9:F9"/>
    <mergeCell ref="B6:C6"/>
    <mergeCell ref="B5:C5"/>
    <mergeCell ref="D5:E5"/>
    <mergeCell ref="B24:L24"/>
    <mergeCell ref="B20:L20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22" customWidth="1" min="4" max="4"/>
    <col width="16" customWidth="1" min="5" max="5"/>
    <col width="18" customWidth="1" min="6" max="6"/>
    <col width="4" customWidth="1" min="7" max="7"/>
  </cols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Avg Order Value</t>
        </is>
      </c>
      <c r="E1" s="1" t="inlineStr">
        <is>
          <t>% of Total Revenue</t>
        </is>
      </c>
    </row>
    <row r="2">
      <c r="A2" s="2" t="inlineStr">
        <is>
          <t>USA</t>
        </is>
      </c>
      <c r="B2" s="4" t="n">
        <v>16622.08</v>
      </c>
      <c r="C2" s="2" t="n">
        <v>206</v>
      </c>
      <c r="D2" s="4" t="n">
        <v>80.69</v>
      </c>
      <c r="E2" s="5" t="n">
        <v>0.3731</v>
      </c>
    </row>
    <row r="3">
      <c r="A3" s="6" t="inlineStr">
        <is>
          <t>Germany</t>
        </is>
      </c>
      <c r="B3" s="8" t="n">
        <v>8396.709999999999</v>
      </c>
      <c r="C3" s="6" t="n">
        <v>94</v>
      </c>
      <c r="D3" s="8" t="n">
        <v>89.33</v>
      </c>
      <c r="E3" s="9" t="n">
        <v>0.1885</v>
      </c>
    </row>
    <row r="4">
      <c r="A4" s="2" t="inlineStr">
        <is>
          <t>Turkey</t>
        </is>
      </c>
      <c r="B4" s="4" t="n">
        <v>6208.32</v>
      </c>
      <c r="C4" s="2" t="n">
        <v>64</v>
      </c>
      <c r="D4" s="4" t="n">
        <v>97.01000000000001</v>
      </c>
      <c r="E4" s="5" t="n">
        <v>0.1393</v>
      </c>
    </row>
    <row r="5">
      <c r="A5" s="6" t="inlineStr">
        <is>
          <t>France</t>
        </is>
      </c>
      <c r="B5" s="8" t="n">
        <v>5378.52</v>
      </c>
      <c r="C5" s="6" t="n">
        <v>79</v>
      </c>
      <c r="D5" s="8" t="n">
        <v>68.08</v>
      </c>
      <c r="E5" s="9" t="n">
        <v>0.1207</v>
      </c>
    </row>
    <row r="6">
      <c r="A6" s="2" t="inlineStr">
        <is>
          <t>UK</t>
        </is>
      </c>
      <c r="B6" s="4" t="n">
        <v>5162.08</v>
      </c>
      <c r="C6" s="2" t="n">
        <v>71</v>
      </c>
      <c r="D6" s="4" t="n">
        <v>72.70999999999999</v>
      </c>
      <c r="E6" s="5" t="n">
        <v>0.1159</v>
      </c>
    </row>
    <row r="7">
      <c r="A7" s="6" t="inlineStr">
        <is>
          <t>Canada</t>
        </is>
      </c>
      <c r="B7" s="8" t="n">
        <v>2785.18</v>
      </c>
      <c r="C7" s="6" t="n">
        <v>36</v>
      </c>
      <c r="D7" s="8" t="n">
        <v>77.37</v>
      </c>
      <c r="E7" s="9" t="n">
        <v>0.0625</v>
      </c>
    </row>
    <row r="10">
      <c r="A10" s="50" t="inlineStr">
        <is>
          <t>Top 3 Products by Country</t>
        </is>
      </c>
    </row>
    <row r="11">
      <c r="A11" s="1" t="inlineStr">
        <is>
          <t>Country</t>
        </is>
      </c>
      <c r="B11" s="1" t="inlineStr">
        <is>
          <t>Rank</t>
        </is>
      </c>
      <c r="C11" s="1" t="inlineStr">
        <is>
          <t>Product</t>
        </is>
      </c>
      <c r="D11" s="1" t="inlineStr">
        <is>
          <t>Revenue</t>
        </is>
      </c>
      <c r="E11" s="1" t="inlineStr">
        <is>
          <t>% Country Revenue</t>
        </is>
      </c>
    </row>
    <row r="12">
      <c r="A12" s="40" t="inlineStr">
        <is>
          <t>USA</t>
        </is>
      </c>
      <c r="B12" s="40" t="n">
        <v>1</v>
      </c>
      <c r="C12" s="40" t="inlineStr">
        <is>
          <t>Running Shoes</t>
        </is>
      </c>
      <c r="D12" s="41" t="n">
        <v>2348.1</v>
      </c>
      <c r="E12" s="43" t="n">
        <v>0.1413</v>
      </c>
    </row>
    <row r="13">
      <c r="A13" s="44" t="inlineStr">
        <is>
          <t>USA</t>
        </is>
      </c>
      <c r="B13" s="44" t="n">
        <v>2</v>
      </c>
      <c r="C13" s="44" t="inlineStr">
        <is>
          <t>Winter Jacket</t>
        </is>
      </c>
      <c r="D13" s="45" t="n">
        <v>1584.32</v>
      </c>
      <c r="E13" s="47" t="n">
        <v>0.0953</v>
      </c>
    </row>
    <row r="14">
      <c r="A14" s="40" t="inlineStr">
        <is>
          <t>USA</t>
        </is>
      </c>
      <c r="B14" s="40" t="n">
        <v>3</v>
      </c>
      <c r="C14" s="40" t="inlineStr">
        <is>
          <t>Wireless Headphones</t>
        </is>
      </c>
      <c r="D14" s="41" t="n">
        <v>1425.79</v>
      </c>
      <c r="E14" s="43" t="n">
        <v>0.0858</v>
      </c>
    </row>
    <row r="15">
      <c r="A15" s="44" t="inlineStr">
        <is>
          <t>Germany</t>
        </is>
      </c>
      <c r="B15" s="44" t="n">
        <v>1</v>
      </c>
      <c r="C15" s="44" t="inlineStr">
        <is>
          <t>Winter Jacket</t>
        </is>
      </c>
      <c r="D15" s="45" t="n">
        <v>1235</v>
      </c>
      <c r="E15" s="47" t="n">
        <v>0.1471</v>
      </c>
    </row>
    <row r="16">
      <c r="A16" s="40" t="inlineStr">
        <is>
          <t>Germany</t>
        </is>
      </c>
      <c r="B16" s="40" t="n">
        <v>2</v>
      </c>
      <c r="C16" s="40" t="inlineStr">
        <is>
          <t>Laptop Stand</t>
        </is>
      </c>
      <c r="D16" s="41" t="n">
        <v>680.09</v>
      </c>
      <c r="E16" s="43" t="n">
        <v>0.081</v>
      </c>
    </row>
    <row r="17">
      <c r="A17" s="44" t="inlineStr">
        <is>
          <t>Germany</t>
        </is>
      </c>
      <c r="B17" s="44" t="n">
        <v>3</v>
      </c>
      <c r="C17" s="44" t="inlineStr">
        <is>
          <t>Denim Jeans</t>
        </is>
      </c>
      <c r="D17" s="45" t="n">
        <v>670.6799999999999</v>
      </c>
      <c r="E17" s="47" t="n">
        <v>0.0799</v>
      </c>
    </row>
    <row r="18">
      <c r="A18" s="40" t="inlineStr">
        <is>
          <t>Turkey</t>
        </is>
      </c>
      <c r="B18" s="40" t="n">
        <v>1</v>
      </c>
      <c r="C18" s="40" t="inlineStr">
        <is>
          <t>Running Shoes</t>
        </is>
      </c>
      <c r="D18" s="41" t="n">
        <v>1543.5</v>
      </c>
      <c r="E18" s="43" t="n">
        <v>0.2486</v>
      </c>
    </row>
    <row r="19">
      <c r="A19" s="44" t="inlineStr">
        <is>
          <t>Turkey</t>
        </is>
      </c>
      <c r="B19" s="44" t="n">
        <v>2</v>
      </c>
      <c r="C19" s="44" t="inlineStr">
        <is>
          <t>Wireless Headphones</t>
        </is>
      </c>
      <c r="D19" s="45" t="n">
        <v>885.55</v>
      </c>
      <c r="E19" s="47" t="n">
        <v>0.1426</v>
      </c>
    </row>
    <row r="20">
      <c r="A20" s="40" t="inlineStr">
        <is>
          <t>Turkey</t>
        </is>
      </c>
      <c r="B20" s="40" t="n">
        <v>3</v>
      </c>
      <c r="C20" s="40" t="inlineStr">
        <is>
          <t>Leather Belt</t>
        </is>
      </c>
      <c r="D20" s="41" t="n">
        <v>431.9</v>
      </c>
      <c r="E20" s="43" t="n">
        <v>0.0696</v>
      </c>
    </row>
    <row r="21">
      <c r="A21" s="44" t="inlineStr">
        <is>
          <t>France</t>
        </is>
      </c>
      <c r="B21" s="44" t="n">
        <v>1</v>
      </c>
      <c r="C21" s="44" t="inlineStr">
        <is>
          <t>Gym Bag</t>
        </is>
      </c>
      <c r="D21" s="45" t="n">
        <v>495.2</v>
      </c>
      <c r="E21" s="47" t="n">
        <v>0.0921</v>
      </c>
    </row>
    <row r="22">
      <c r="A22" s="40" t="inlineStr">
        <is>
          <t>France</t>
        </is>
      </c>
      <c r="B22" s="40" t="n">
        <v>2</v>
      </c>
      <c r="C22" s="40" t="inlineStr">
        <is>
          <t>Plant Pot Set</t>
        </is>
      </c>
      <c r="D22" s="41" t="n">
        <v>395.42</v>
      </c>
      <c r="E22" s="43" t="n">
        <v>0.0735</v>
      </c>
    </row>
    <row r="23">
      <c r="A23" s="44" t="inlineStr">
        <is>
          <t>France</t>
        </is>
      </c>
      <c r="B23" s="44" t="n">
        <v>3</v>
      </c>
      <c r="C23" s="44" t="inlineStr">
        <is>
          <t>Winter Jacket</t>
        </is>
      </c>
      <c r="D23" s="45" t="n">
        <v>379.92</v>
      </c>
      <c r="E23" s="47" t="n">
        <v>0.0706</v>
      </c>
    </row>
    <row r="24">
      <c r="A24" s="40" t="inlineStr">
        <is>
          <t>UK</t>
        </is>
      </c>
      <c r="B24" s="40" t="n">
        <v>1</v>
      </c>
      <c r="C24" s="40" t="inlineStr">
        <is>
          <t>Fitness Tracker</t>
        </is>
      </c>
      <c r="D24" s="41" t="n">
        <v>707.75</v>
      </c>
      <c r="E24" s="43" t="n">
        <v>0.1371</v>
      </c>
    </row>
    <row r="25">
      <c r="A25" s="44" t="inlineStr">
        <is>
          <t>UK</t>
        </is>
      </c>
      <c r="B25" s="44" t="n">
        <v>2</v>
      </c>
      <c r="C25" s="44" t="inlineStr">
        <is>
          <t>Bluetooth Speaker</t>
        </is>
      </c>
      <c r="D25" s="45" t="n">
        <v>458.44</v>
      </c>
      <c r="E25" s="47" t="n">
        <v>0.0888</v>
      </c>
    </row>
    <row r="26">
      <c r="A26" s="40" t="inlineStr">
        <is>
          <t>UK</t>
        </is>
      </c>
      <c r="B26" s="40" t="n">
        <v>3</v>
      </c>
      <c r="C26" s="40" t="inlineStr">
        <is>
          <t>Denim Jeans</t>
        </is>
      </c>
      <c r="D26" s="41" t="n">
        <v>416.87</v>
      </c>
      <c r="E26" s="43" t="n">
        <v>0.0808</v>
      </c>
    </row>
    <row r="27">
      <c r="A27" s="44" t="inlineStr">
        <is>
          <t>Canada</t>
        </is>
      </c>
      <c r="B27" s="44" t="n">
        <v>1</v>
      </c>
      <c r="C27" s="44" t="inlineStr">
        <is>
          <t>Fitness Tracker</t>
        </is>
      </c>
      <c r="D27" s="45" t="n">
        <v>474.52</v>
      </c>
      <c r="E27" s="47" t="n">
        <v>0.1704</v>
      </c>
    </row>
    <row r="28">
      <c r="A28" s="40" t="inlineStr">
        <is>
          <t>Canada</t>
        </is>
      </c>
      <c r="B28" s="40" t="n">
        <v>2</v>
      </c>
      <c r="C28" s="40" t="inlineStr">
        <is>
          <t>Denim Jeans</t>
        </is>
      </c>
      <c r="D28" s="41" t="n">
        <v>285.81</v>
      </c>
      <c r="E28" s="43" t="n">
        <v>0.1026</v>
      </c>
    </row>
    <row r="29">
      <c r="A29" s="44" t="inlineStr">
        <is>
          <t>Canada</t>
        </is>
      </c>
      <c r="B29" s="44" t="n">
        <v>3</v>
      </c>
      <c r="C29" s="44" t="inlineStr">
        <is>
          <t>Winter Jacket</t>
        </is>
      </c>
      <c r="D29" s="45" t="n">
        <v>265.09</v>
      </c>
      <c r="E29" s="47" t="n">
        <v>0.09520000000000001</v>
      </c>
    </row>
    <row r="200">
      <c r="A200" t="inlineStr">
        <is>
          <t>Country</t>
        </is>
      </c>
      <c r="B200" t="inlineStr">
        <is>
          <t>Revenue</t>
        </is>
      </c>
    </row>
    <row r="201">
      <c r="A201" t="inlineStr">
        <is>
          <t>USA</t>
        </is>
      </c>
      <c r="B201" t="n">
        <v>16622.08</v>
      </c>
    </row>
    <row r="202">
      <c r="A202" t="inlineStr">
        <is>
          <t>Germany</t>
        </is>
      </c>
      <c r="B202" t="n">
        <v>8396.709999999999</v>
      </c>
    </row>
    <row r="203">
      <c r="A203" t="inlineStr">
        <is>
          <t>Turkey</t>
        </is>
      </c>
      <c r="B203" t="n">
        <v>6208.32</v>
      </c>
    </row>
    <row r="204">
      <c r="A204" t="inlineStr">
        <is>
          <t>France</t>
        </is>
      </c>
      <c r="B204" t="n">
        <v>5378.52</v>
      </c>
    </row>
    <row r="205">
      <c r="A205" t="inlineStr">
        <is>
          <t>UK</t>
        </is>
      </c>
      <c r="B205" t="n">
        <v>5162.08</v>
      </c>
    </row>
    <row r="206">
      <c r="A206" t="inlineStr">
        <is>
          <t>Canada</t>
        </is>
      </c>
      <c r="B206" t="n">
        <v>2785.18</v>
      </c>
    </row>
  </sheetData>
  <mergeCells count="1">
    <mergeCell ref="A10:E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2026-04-25T20:04:59Z</dcterms:created>
  <dcterms:modified xsi:type="dcterms:W3CDTF">2026-04-25T20:04:59Z</dcterms:modified>
</cp:coreProperties>
</file>